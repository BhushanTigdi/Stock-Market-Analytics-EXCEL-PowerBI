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Bhushan\Downloads\"/>
    </mc:Choice>
  </mc:AlternateContent>
  <xr:revisionPtr revIDLastSave="0" documentId="8_{0E411C28-2A3A-44DC-8549-832A67A1220E}" xr6:coauthVersionLast="47" xr6:coauthVersionMax="47" xr10:uidLastSave="{00000000-0000-0000-0000-000000000000}"/>
  <bookViews>
    <workbookView xWindow="-108" yWindow="-108" windowWidth="23256" windowHeight="12456" activeTab="1" xr2:uid="{109C0D8E-DF3E-4FBE-8ACA-BE645A3FEA51}"/>
  </bookViews>
  <sheets>
    <sheet name="Stock_Data" sheetId="1" r:id="rId1"/>
    <sheet name="Balancesheet_Data" sheetId="2" r:id="rId2"/>
    <sheet name="Dashboard" sheetId="3" r:id="rId3"/>
  </sheets>
  <definedNames>
    <definedName name="Slicer_MarketSentiment">#N/A</definedName>
  </definedNames>
  <calcPr calcId="191029"/>
  <pivotCaches>
    <pivotCache cacheId="9"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 i="1"/>
  <c r="H2" i="3"/>
  <c r="F2" i="3"/>
  <c r="D2" i="3"/>
  <c r="B2" i="3"/>
</calcChain>
</file>

<file path=xl/sharedStrings.xml><?xml version="1.0" encoding="utf-8"?>
<sst xmlns="http://schemas.openxmlformats.org/spreadsheetml/2006/main" count="155" uniqueCount="34">
  <si>
    <t>TradeDate</t>
  </si>
  <si>
    <t>ClosingPrice</t>
  </si>
  <si>
    <t>DailyReturnPct</t>
  </si>
  <si>
    <t>30Day_Volatility_StdDev</t>
  </si>
  <si>
    <t>MarketSentiment</t>
  </si>
  <si>
    <t>Normal Movement</t>
  </si>
  <si>
    <t>High Bearish Day (Drop &gt; 3%)</t>
  </si>
  <si>
    <t>High Bullish Day (Gain &gt; 3%)</t>
  </si>
  <si>
    <t>NULL</t>
  </si>
  <si>
    <t>ScripCode</t>
  </si>
  <si>
    <t>FinancialPeriod</t>
  </si>
  <si>
    <t>CurrentBorrowings</t>
  </si>
  <si>
    <t>PreviousBorrowings</t>
  </si>
  <si>
    <t>BorrowingChange</t>
  </si>
  <si>
    <t>YoY_Growth_Pct</t>
  </si>
  <si>
    <t>7Day_SMA</t>
  </si>
  <si>
    <t>Row Labels</t>
  </si>
  <si>
    <t>Grand Total</t>
  </si>
  <si>
    <t>2011</t>
  </si>
  <si>
    <t>2012</t>
  </si>
  <si>
    <t>2013</t>
  </si>
  <si>
    <t>2014</t>
  </si>
  <si>
    <t>2015</t>
  </si>
  <si>
    <t>2016</t>
  </si>
  <si>
    <t>2017</t>
  </si>
  <si>
    <t>2018</t>
  </si>
  <si>
    <t>2019</t>
  </si>
  <si>
    <t>2020</t>
  </si>
  <si>
    <t>2021</t>
  </si>
  <si>
    <t>2022</t>
  </si>
  <si>
    <t>2023</t>
  </si>
  <si>
    <t>Average of YoY_Growth_Pct</t>
  </si>
  <si>
    <t>Column Labels</t>
  </si>
  <si>
    <t>Sum of BorrowingChange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</si>
</sst>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 #,##0.00"/>
    <numFmt numFmtId="171" formatCode="0.00&quot;%&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7" fontId="0" fillId="0" borderId="0" xfId="0" applyNumberFormat="1"/>
    <xf numFmtId="0" fontId="0" fillId="0" borderId="0" xfId="0" applyAlignment="1">
      <alignment horizontal="center"/>
    </xf>
    <xf numFmtId="168" fontId="0" fillId="0" borderId="0" xfId="0" applyNumberFormat="1" applyAlignment="1">
      <alignment horizontal="center"/>
    </xf>
    <xf numFmtId="17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ADANI ENT - Closing Price vs 7-Day SMA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Stock_Data!$B$1</c:f>
              <c:strCache>
                <c:ptCount val="1"/>
                <c:pt idx="0">
                  <c:v>ClosingPrice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Stock_Data!$A$2:$A$25</c:f>
              <c:numCache>
                <c:formatCode>m/d/yyyy</c:formatCode>
                <c:ptCount val="24"/>
                <c:pt idx="0">
                  <c:v>46282</c:v>
                </c:pt>
                <c:pt idx="1">
                  <c:v>46281</c:v>
                </c:pt>
                <c:pt idx="2">
                  <c:v>46280</c:v>
                </c:pt>
                <c:pt idx="3">
                  <c:v>46279</c:v>
                </c:pt>
                <c:pt idx="4">
                  <c:v>46276</c:v>
                </c:pt>
                <c:pt idx="5">
                  <c:v>46275</c:v>
                </c:pt>
                <c:pt idx="6">
                  <c:v>46274</c:v>
                </c:pt>
                <c:pt idx="7">
                  <c:v>46273</c:v>
                </c:pt>
                <c:pt idx="8">
                  <c:v>46272</c:v>
                </c:pt>
                <c:pt idx="9">
                  <c:v>46269</c:v>
                </c:pt>
                <c:pt idx="10">
                  <c:v>46268</c:v>
                </c:pt>
                <c:pt idx="11">
                  <c:v>46267</c:v>
                </c:pt>
                <c:pt idx="12">
                  <c:v>46266</c:v>
                </c:pt>
                <c:pt idx="13">
                  <c:v>46265</c:v>
                </c:pt>
                <c:pt idx="14">
                  <c:v>46262</c:v>
                </c:pt>
                <c:pt idx="15">
                  <c:v>46261</c:v>
                </c:pt>
                <c:pt idx="16">
                  <c:v>46260</c:v>
                </c:pt>
                <c:pt idx="17">
                  <c:v>46259</c:v>
                </c:pt>
                <c:pt idx="18">
                  <c:v>46258</c:v>
                </c:pt>
                <c:pt idx="19">
                  <c:v>46255</c:v>
                </c:pt>
                <c:pt idx="20">
                  <c:v>46254</c:v>
                </c:pt>
                <c:pt idx="21">
                  <c:v>46253</c:v>
                </c:pt>
                <c:pt idx="22">
                  <c:v>46252</c:v>
                </c:pt>
                <c:pt idx="23">
                  <c:v>46251</c:v>
                </c:pt>
              </c:numCache>
            </c:numRef>
          </c:cat>
          <c:val>
            <c:numRef>
              <c:f>Stock_Data!$B$2:$B$25</c:f>
              <c:numCache>
                <c:formatCode>General</c:formatCode>
                <c:ptCount val="24"/>
                <c:pt idx="0">
                  <c:v>2930.10009765625</c:v>
                </c:pt>
                <c:pt idx="1">
                  <c:v>2957</c:v>
                </c:pt>
                <c:pt idx="2">
                  <c:v>3080</c:v>
                </c:pt>
                <c:pt idx="3">
                  <c:v>3060</c:v>
                </c:pt>
                <c:pt idx="4">
                  <c:v>3040</c:v>
                </c:pt>
                <c:pt idx="5">
                  <c:v>3114.5</c:v>
                </c:pt>
                <c:pt idx="6">
                  <c:v>2959.89990234375</c:v>
                </c:pt>
                <c:pt idx="7">
                  <c:v>2933</c:v>
                </c:pt>
                <c:pt idx="8">
                  <c:v>2940</c:v>
                </c:pt>
                <c:pt idx="9">
                  <c:v>2900</c:v>
                </c:pt>
                <c:pt idx="10">
                  <c:v>2905</c:v>
                </c:pt>
                <c:pt idx="11">
                  <c:v>2859.80004882813</c:v>
                </c:pt>
                <c:pt idx="12">
                  <c:v>2910</c:v>
                </c:pt>
                <c:pt idx="13">
                  <c:v>3165</c:v>
                </c:pt>
                <c:pt idx="14">
                  <c:v>3170</c:v>
                </c:pt>
                <c:pt idx="15">
                  <c:v>3125</c:v>
                </c:pt>
                <c:pt idx="16">
                  <c:v>3122.80004882813</c:v>
                </c:pt>
                <c:pt idx="17">
                  <c:v>2998</c:v>
                </c:pt>
                <c:pt idx="18">
                  <c:v>3010</c:v>
                </c:pt>
                <c:pt idx="19">
                  <c:v>2995</c:v>
                </c:pt>
                <c:pt idx="20">
                  <c:v>3000</c:v>
                </c:pt>
                <c:pt idx="21">
                  <c:v>3012.69995117188</c:v>
                </c:pt>
                <c:pt idx="22">
                  <c:v>3014</c:v>
                </c:pt>
                <c:pt idx="23">
                  <c:v>3049</c:v>
                </c:pt>
              </c:numCache>
            </c:numRef>
          </c:val>
          <c:smooth val="0"/>
          <c:extLst>
            <c:ext xmlns:c16="http://schemas.microsoft.com/office/drawing/2014/chart" uri="{C3380CC4-5D6E-409C-BE32-E72D297353CC}">
              <c16:uniqueId val="{00000000-A4A9-4843-A415-4693D7D9D9C4}"/>
            </c:ext>
          </c:extLst>
        </c:ser>
        <c:ser>
          <c:idx val="1"/>
          <c:order val="1"/>
          <c:tx>
            <c:strRef>
              <c:f>Stock_Data!$F$1</c:f>
              <c:strCache>
                <c:ptCount val="1"/>
                <c:pt idx="0">
                  <c:v>7Day_SMA</c:v>
                </c:pt>
              </c:strCache>
            </c:strRef>
          </c:tx>
          <c:spPr>
            <a:ln w="28575" cap="rnd">
              <a:solidFill>
                <a:schemeClr val="accent2"/>
              </a:solidFill>
              <a:prstDash val="dash"/>
              <a:round/>
            </a:ln>
            <a:effectLst/>
          </c:spPr>
          <c:marker>
            <c:symbol val="none"/>
          </c:marker>
          <c:cat>
            <c:numRef>
              <c:f>Stock_Data!$A$2:$A$25</c:f>
              <c:numCache>
                <c:formatCode>m/d/yyyy</c:formatCode>
                <c:ptCount val="24"/>
                <c:pt idx="0">
                  <c:v>46282</c:v>
                </c:pt>
                <c:pt idx="1">
                  <c:v>46281</c:v>
                </c:pt>
                <c:pt idx="2">
                  <c:v>46280</c:v>
                </c:pt>
                <c:pt idx="3">
                  <c:v>46279</c:v>
                </c:pt>
                <c:pt idx="4">
                  <c:v>46276</c:v>
                </c:pt>
                <c:pt idx="5">
                  <c:v>46275</c:v>
                </c:pt>
                <c:pt idx="6">
                  <c:v>46274</c:v>
                </c:pt>
                <c:pt idx="7">
                  <c:v>46273</c:v>
                </c:pt>
                <c:pt idx="8">
                  <c:v>46272</c:v>
                </c:pt>
                <c:pt idx="9">
                  <c:v>46269</c:v>
                </c:pt>
                <c:pt idx="10">
                  <c:v>46268</c:v>
                </c:pt>
                <c:pt idx="11">
                  <c:v>46267</c:v>
                </c:pt>
                <c:pt idx="12">
                  <c:v>46266</c:v>
                </c:pt>
                <c:pt idx="13">
                  <c:v>46265</c:v>
                </c:pt>
                <c:pt idx="14">
                  <c:v>46262</c:v>
                </c:pt>
                <c:pt idx="15">
                  <c:v>46261</c:v>
                </c:pt>
                <c:pt idx="16">
                  <c:v>46260</c:v>
                </c:pt>
                <c:pt idx="17">
                  <c:v>46259</c:v>
                </c:pt>
                <c:pt idx="18">
                  <c:v>46258</c:v>
                </c:pt>
                <c:pt idx="19">
                  <c:v>46255</c:v>
                </c:pt>
                <c:pt idx="20">
                  <c:v>46254</c:v>
                </c:pt>
                <c:pt idx="21">
                  <c:v>46253</c:v>
                </c:pt>
                <c:pt idx="22">
                  <c:v>46252</c:v>
                </c:pt>
                <c:pt idx="23">
                  <c:v>46251</c:v>
                </c:pt>
              </c:numCache>
            </c:numRef>
          </c:cat>
          <c:val>
            <c:numRef>
              <c:f>Stock_Data!$F$2:$F$25</c:f>
              <c:numCache>
                <c:formatCode>General</c:formatCode>
                <c:ptCount val="24"/>
                <c:pt idx="0">
                  <c:v>3020.2142857142858</c:v>
                </c:pt>
                <c:pt idx="1">
                  <c:v>3020.6285574776784</c:v>
                </c:pt>
                <c:pt idx="2">
                  <c:v>3018.1999860491073</c:v>
                </c:pt>
                <c:pt idx="3">
                  <c:v>2992.4857003348216</c:v>
                </c:pt>
                <c:pt idx="4">
                  <c:v>2970.3428431919642</c:v>
                </c:pt>
                <c:pt idx="5">
                  <c:v>2944.5999930245539</c:v>
                </c:pt>
                <c:pt idx="6">
                  <c:v>2915.3857073102686</c:v>
                </c:pt>
                <c:pt idx="7">
                  <c:v>2944.6857212611617</c:v>
                </c:pt>
                <c:pt idx="8">
                  <c:v>2978.5428641183048</c:v>
                </c:pt>
                <c:pt idx="9">
                  <c:v>3004.9714355468759</c:v>
                </c:pt>
                <c:pt idx="10">
                  <c:v>3036.8000139508945</c:v>
                </c:pt>
                <c:pt idx="11">
                  <c:v>3050.0857282366087</c:v>
                </c:pt>
                <c:pt idx="12">
                  <c:v>3071.5428641183048</c:v>
                </c:pt>
                <c:pt idx="13">
                  <c:v>3083.6857212611617</c:v>
                </c:pt>
                <c:pt idx="14">
                  <c:v>3060.1142926897332</c:v>
                </c:pt>
                <c:pt idx="15">
                  <c:v>3037.6428571428587</c:v>
                </c:pt>
                <c:pt idx="16">
                  <c:v>3021.785714285716</c:v>
                </c:pt>
                <c:pt idx="17">
                  <c:v>3011.2428501674117</c:v>
                </c:pt>
                <c:pt idx="18">
                  <c:v>3013.4499918619804</c:v>
                </c:pt>
                <c:pt idx="19">
                  <c:v>3014.139990234376</c:v>
                </c:pt>
                <c:pt idx="20">
                  <c:v>3018.9249877929701</c:v>
                </c:pt>
                <c:pt idx="21">
                  <c:v>3025.2333170572933</c:v>
                </c:pt>
                <c:pt idx="22">
                  <c:v>3031.5</c:v>
                </c:pt>
                <c:pt idx="23">
                  <c:v>3049</c:v>
                </c:pt>
              </c:numCache>
            </c:numRef>
          </c:val>
          <c:smooth val="0"/>
          <c:extLst>
            <c:ext xmlns:c16="http://schemas.microsoft.com/office/drawing/2014/chart" uri="{C3380CC4-5D6E-409C-BE32-E72D297353CC}">
              <c16:uniqueId val="{00000001-A4A9-4843-A415-4693D7D9D9C4}"/>
            </c:ext>
          </c:extLst>
        </c:ser>
        <c:dLbls>
          <c:showLegendKey val="0"/>
          <c:showVal val="0"/>
          <c:showCatName val="0"/>
          <c:showSerName val="0"/>
          <c:showPercent val="0"/>
          <c:showBubbleSize val="0"/>
        </c:dLbls>
        <c:marker val="1"/>
        <c:smooth val="0"/>
        <c:axId val="1755611296"/>
        <c:axId val="1622927920"/>
      </c:lineChart>
      <c:dateAx>
        <c:axId val="175561129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27920"/>
        <c:crosses val="autoZero"/>
        <c:auto val="1"/>
        <c:lblOffset val="100"/>
        <c:baseTimeUnit val="days"/>
      </c:dateAx>
      <c:valAx>
        <c:axId val="16229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11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30Day</a:t>
            </a:r>
            <a:r>
              <a:rPr lang="en-US" baseline="0"/>
              <a:t> Price </a:t>
            </a:r>
            <a:r>
              <a:rPr lang="en-US"/>
              <a:t>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Stock_Data!$D$1</c:f>
              <c:strCache>
                <c:ptCount val="1"/>
                <c:pt idx="0">
                  <c:v>30Day_Volatility_StdDev</c:v>
                </c:pt>
              </c:strCache>
            </c:strRef>
          </c:tx>
          <c:spPr>
            <a:solidFill>
              <a:schemeClr val="accent1"/>
            </a:solidFill>
            <a:ln>
              <a:noFill/>
            </a:ln>
            <a:effectLst/>
          </c:spPr>
          <c:invertIfNegative val="0"/>
          <c:cat>
            <c:numRef>
              <c:f>Stock_Data!$A$2:$A$25</c:f>
              <c:numCache>
                <c:formatCode>m/d/yyyy</c:formatCode>
                <c:ptCount val="24"/>
                <c:pt idx="0">
                  <c:v>46282</c:v>
                </c:pt>
                <c:pt idx="1">
                  <c:v>46281</c:v>
                </c:pt>
                <c:pt idx="2">
                  <c:v>46280</c:v>
                </c:pt>
                <c:pt idx="3">
                  <c:v>46279</c:v>
                </c:pt>
                <c:pt idx="4">
                  <c:v>46276</c:v>
                </c:pt>
                <c:pt idx="5">
                  <c:v>46275</c:v>
                </c:pt>
                <c:pt idx="6">
                  <c:v>46274</c:v>
                </c:pt>
                <c:pt idx="7">
                  <c:v>46273</c:v>
                </c:pt>
                <c:pt idx="8">
                  <c:v>46272</c:v>
                </c:pt>
                <c:pt idx="9">
                  <c:v>46269</c:v>
                </c:pt>
                <c:pt idx="10">
                  <c:v>46268</c:v>
                </c:pt>
                <c:pt idx="11">
                  <c:v>46267</c:v>
                </c:pt>
                <c:pt idx="12">
                  <c:v>46266</c:v>
                </c:pt>
                <c:pt idx="13">
                  <c:v>46265</c:v>
                </c:pt>
                <c:pt idx="14">
                  <c:v>46262</c:v>
                </c:pt>
                <c:pt idx="15">
                  <c:v>46261</c:v>
                </c:pt>
                <c:pt idx="16">
                  <c:v>46260</c:v>
                </c:pt>
                <c:pt idx="17">
                  <c:v>46259</c:v>
                </c:pt>
                <c:pt idx="18">
                  <c:v>46258</c:v>
                </c:pt>
                <c:pt idx="19">
                  <c:v>46255</c:v>
                </c:pt>
                <c:pt idx="20">
                  <c:v>46254</c:v>
                </c:pt>
                <c:pt idx="21">
                  <c:v>46253</c:v>
                </c:pt>
                <c:pt idx="22">
                  <c:v>46252</c:v>
                </c:pt>
                <c:pt idx="23">
                  <c:v>46251</c:v>
                </c:pt>
              </c:numCache>
            </c:numRef>
          </c:cat>
          <c:val>
            <c:numRef>
              <c:f>Stock_Data!$D$2:$D$25</c:f>
              <c:numCache>
                <c:formatCode>General</c:formatCode>
                <c:ptCount val="24"/>
                <c:pt idx="0">
                  <c:v>2.57</c:v>
                </c:pt>
                <c:pt idx="1">
                  <c:v>2.62</c:v>
                </c:pt>
                <c:pt idx="2">
                  <c:v>2.5299999999999998</c:v>
                </c:pt>
                <c:pt idx="3">
                  <c:v>2.6</c:v>
                </c:pt>
                <c:pt idx="4">
                  <c:v>2.66</c:v>
                </c:pt>
                <c:pt idx="5">
                  <c:v>2.67</c:v>
                </c:pt>
                <c:pt idx="6">
                  <c:v>2.4300000000000002</c:v>
                </c:pt>
                <c:pt idx="7">
                  <c:v>2.4900000000000002</c:v>
                </c:pt>
                <c:pt idx="8">
                  <c:v>2.58</c:v>
                </c:pt>
                <c:pt idx="9">
                  <c:v>2.64</c:v>
                </c:pt>
                <c:pt idx="10">
                  <c:v>2.74</c:v>
                </c:pt>
                <c:pt idx="11">
                  <c:v>2.8</c:v>
                </c:pt>
                <c:pt idx="12">
                  <c:v>2.91</c:v>
                </c:pt>
                <c:pt idx="13">
                  <c:v>1.49</c:v>
                </c:pt>
                <c:pt idx="14">
                  <c:v>1.56</c:v>
                </c:pt>
                <c:pt idx="15">
                  <c:v>1.62</c:v>
                </c:pt>
                <c:pt idx="16">
                  <c:v>1.75</c:v>
                </c:pt>
                <c:pt idx="17">
                  <c:v>0.54</c:v>
                </c:pt>
                <c:pt idx="18">
                  <c:v>0.6</c:v>
                </c:pt>
                <c:pt idx="19">
                  <c:v>0.5</c:v>
                </c:pt>
                <c:pt idx="20">
                  <c:v>0.56000000000000005</c:v>
                </c:pt>
                <c:pt idx="21">
                  <c:v>0.78</c:v>
                </c:pt>
                <c:pt idx="22">
                  <c:v>0</c:v>
                </c:pt>
                <c:pt idx="23">
                  <c:v>0</c:v>
                </c:pt>
              </c:numCache>
            </c:numRef>
          </c:val>
          <c:extLst>
            <c:ext xmlns:c16="http://schemas.microsoft.com/office/drawing/2014/chart" uri="{C3380CC4-5D6E-409C-BE32-E72D297353CC}">
              <c16:uniqueId val="{00000000-D768-404A-AA86-6CCF7E1ABD29}"/>
            </c:ext>
          </c:extLst>
        </c:ser>
        <c:dLbls>
          <c:showLegendKey val="0"/>
          <c:showVal val="0"/>
          <c:showCatName val="0"/>
          <c:showSerName val="0"/>
          <c:showPercent val="0"/>
          <c:showBubbleSize val="0"/>
        </c:dLbls>
        <c:gapWidth val="219"/>
        <c:overlap val="-27"/>
        <c:axId val="1760332768"/>
        <c:axId val="1893585808"/>
      </c:barChart>
      <c:dateAx>
        <c:axId val="176033276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85808"/>
        <c:crosses val="autoZero"/>
        <c:auto val="1"/>
        <c:lblOffset val="100"/>
        <c:baseTimeUnit val="days"/>
      </c:dateAx>
      <c:valAx>
        <c:axId val="18935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3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[Multi-Asset Stock &amp; Fundamental Dashboard.xlsx]Balancesheet_Data!PivotTable3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Borrowing Change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Balancesheet_Data!$J$6</c:f>
              <c:strCache>
                <c:ptCount val="1"/>
                <c:pt idx="0">
                  <c:v>Total</c:v>
                </c:pt>
              </c:strCache>
            </c:strRef>
          </c:tx>
          <c:spPr>
            <a:solidFill>
              <a:schemeClr val="accent1"/>
            </a:solidFill>
            <a:ln>
              <a:noFill/>
            </a:ln>
            <a:effectLst/>
          </c:spPr>
          <c:invertIfNegative val="0"/>
          <c:cat>
            <c:strRef>
              <c:f>Balancesheet_Data!$I$7:$I$20</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Balancesheet_Data!$J$7:$J$20</c:f>
              <c:numCache>
                <c:formatCode>General</c:formatCode>
                <c:ptCount val="13"/>
                <c:pt idx="0">
                  <c:v>-100</c:v>
                </c:pt>
                <c:pt idx="1">
                  <c:v>54.67</c:v>
                </c:pt>
                <c:pt idx="2">
                  <c:v>54.675499999999978</c:v>
                </c:pt>
                <c:pt idx="3">
                  <c:v>205.54900000000004</c:v>
                </c:pt>
                <c:pt idx="4">
                  <c:v>14.158024691358021</c:v>
                </c:pt>
                <c:pt idx="5">
                  <c:v>29.627411764705887</c:v>
                </c:pt>
                <c:pt idx="6">
                  <c:v>47.599770114942544</c:v>
                </c:pt>
                <c:pt idx="7">
                  <c:v>20.905113636363641</c:v>
                </c:pt>
                <c:pt idx="8">
                  <c:v>39.578750000000007</c:v>
                </c:pt>
                <c:pt idx="9">
                  <c:v>213.53122222222228</c:v>
                </c:pt>
                <c:pt idx="10">
                  <c:v>22.312446808510636</c:v>
                </c:pt>
                <c:pt idx="11">
                  <c:v>35.047549019607835</c:v>
                </c:pt>
                <c:pt idx="12">
                  <c:v>23.852987012987011</c:v>
                </c:pt>
              </c:numCache>
            </c:numRef>
          </c:val>
          <c:extLst>
            <c:ext xmlns:c16="http://schemas.microsoft.com/office/drawing/2014/chart" uri="{C3380CC4-5D6E-409C-BE32-E72D297353CC}">
              <c16:uniqueId val="{00000000-4946-4A2E-A86C-C0E01A2E507D}"/>
            </c:ext>
          </c:extLst>
        </c:ser>
        <c:dLbls>
          <c:showLegendKey val="0"/>
          <c:showVal val="0"/>
          <c:showCatName val="0"/>
          <c:showSerName val="0"/>
          <c:showPercent val="0"/>
          <c:showBubbleSize val="0"/>
        </c:dLbls>
        <c:gapWidth val="219"/>
        <c:overlap val="-27"/>
        <c:axId val="1752166560"/>
        <c:axId val="1893677968"/>
      </c:barChart>
      <c:catAx>
        <c:axId val="175216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77968"/>
        <c:crosses val="autoZero"/>
        <c:auto val="1"/>
        <c:lblAlgn val="ctr"/>
        <c:lblOffset val="100"/>
        <c:noMultiLvlLbl val="0"/>
      </c:catAx>
      <c:valAx>
        <c:axId val="18936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6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[Multi-Asset Stock &amp; Fundamental Dashboard.xlsx]Balancesheet_Data!PivotTable4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Balancesheet_Data!$N$6:$N$7</c:f>
              <c:strCache>
                <c:ptCount val="1"/>
                <c:pt idx="0">
                  <c:v>500002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Balancesheet_Data!$N$8:$N$21</c:f>
              <c:numCache>
                <c:formatCode>General</c:formatCode>
                <c:ptCount val="13"/>
                <c:pt idx="1">
                  <c:v>328</c:v>
                </c:pt>
                <c:pt idx="2">
                  <c:v>292</c:v>
                </c:pt>
                <c:pt idx="3">
                  <c:v>-249</c:v>
                </c:pt>
                <c:pt idx="4">
                  <c:v>229</c:v>
                </c:pt>
                <c:pt idx="5">
                  <c:v>0</c:v>
                </c:pt>
                <c:pt idx="6">
                  <c:v>8</c:v>
                </c:pt>
                <c:pt idx="7">
                  <c:v>-601</c:v>
                </c:pt>
                <c:pt idx="8">
                  <c:v>7</c:v>
                </c:pt>
                <c:pt idx="9">
                  <c:v>44</c:v>
                </c:pt>
                <c:pt idx="10">
                  <c:v>-21</c:v>
                </c:pt>
                <c:pt idx="11">
                  <c:v>-4</c:v>
                </c:pt>
              </c:numCache>
            </c:numRef>
          </c:val>
          <c:smooth val="0"/>
          <c:extLst>
            <c:ext xmlns:c16="http://schemas.microsoft.com/office/drawing/2014/chart" uri="{C3380CC4-5D6E-409C-BE32-E72D297353CC}">
              <c16:uniqueId val="{00000000-CDAB-4793-A1DF-8C5687C3561F}"/>
            </c:ext>
          </c:extLst>
        </c:ser>
        <c:ser>
          <c:idx val="1"/>
          <c:order val="1"/>
          <c:tx>
            <c:strRef>
              <c:f>Balancesheet_Data!$O$6:$O$7</c:f>
              <c:strCache>
                <c:ptCount val="1"/>
                <c:pt idx="0">
                  <c:v>500010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Balancesheet_Data!$O$8:$O$21</c:f>
              <c:numCache>
                <c:formatCode>General</c:formatCode>
                <c:ptCount val="13"/>
                <c:pt idx="2">
                  <c:v>21184</c:v>
                </c:pt>
                <c:pt idx="3">
                  <c:v>26939</c:v>
                </c:pt>
                <c:pt idx="4">
                  <c:v>26755</c:v>
                </c:pt>
                <c:pt idx="5">
                  <c:v>32061</c:v>
                </c:pt>
                <c:pt idx="6">
                  <c:v>44377</c:v>
                </c:pt>
                <c:pt idx="7">
                  <c:v>42621</c:v>
                </c:pt>
                <c:pt idx="8">
                  <c:v>50339</c:v>
                </c:pt>
                <c:pt idx="9">
                  <c:v>38613</c:v>
                </c:pt>
                <c:pt idx="10">
                  <c:v>21643</c:v>
                </c:pt>
                <c:pt idx="11">
                  <c:v>60449</c:v>
                </c:pt>
                <c:pt idx="12">
                  <c:v>74805</c:v>
                </c:pt>
              </c:numCache>
            </c:numRef>
          </c:val>
          <c:smooth val="0"/>
          <c:extLst>
            <c:ext xmlns:c16="http://schemas.microsoft.com/office/drawing/2014/chart" uri="{C3380CC4-5D6E-409C-BE32-E72D297353CC}">
              <c16:uniqueId val="{00000001-CDAB-4793-A1DF-8C5687C3561F}"/>
            </c:ext>
          </c:extLst>
        </c:ser>
        <c:ser>
          <c:idx val="2"/>
          <c:order val="2"/>
          <c:tx>
            <c:strRef>
              <c:f>Balancesheet_Data!$P$6:$P$7</c:f>
              <c:strCache>
                <c:ptCount val="1"/>
                <c:pt idx="0">
                  <c:v>500034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Balancesheet_Data!$P$8:$P$21</c:f>
              <c:numCache>
                <c:formatCode>General</c:formatCode>
                <c:ptCount val="13"/>
                <c:pt idx="5">
                  <c:v>10370</c:v>
                </c:pt>
                <c:pt idx="6">
                  <c:v>12225</c:v>
                </c:pt>
                <c:pt idx="7">
                  <c:v>17307</c:v>
                </c:pt>
                <c:pt idx="8">
                  <c:v>35031</c:v>
                </c:pt>
                <c:pt idx="9">
                  <c:v>28218</c:v>
                </c:pt>
                <c:pt idx="10">
                  <c:v>1828</c:v>
                </c:pt>
                <c:pt idx="11">
                  <c:v>33598</c:v>
                </c:pt>
                <c:pt idx="12">
                  <c:v>51458</c:v>
                </c:pt>
              </c:numCache>
            </c:numRef>
          </c:val>
          <c:smooth val="0"/>
          <c:extLst>
            <c:ext xmlns:c16="http://schemas.microsoft.com/office/drawing/2014/chart" uri="{C3380CC4-5D6E-409C-BE32-E72D297353CC}">
              <c16:uniqueId val="{00000002-CDAB-4793-A1DF-8C5687C3561F}"/>
            </c:ext>
          </c:extLst>
        </c:ser>
        <c:ser>
          <c:idx val="3"/>
          <c:order val="3"/>
          <c:tx>
            <c:strRef>
              <c:f>Balancesheet_Data!$Q$6:$Q$7</c:f>
              <c:strCache>
                <c:ptCount val="1"/>
                <c:pt idx="0">
                  <c:v>500049</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Balancesheet_Data!$Q$8:$Q$21</c:f>
              <c:numCache>
                <c:formatCode>General</c:formatCode>
                <c:ptCount val="13"/>
                <c:pt idx="2">
                  <c:v>0</c:v>
                </c:pt>
                <c:pt idx="3">
                  <c:v>-1</c:v>
                </c:pt>
                <c:pt idx="4">
                  <c:v>25</c:v>
                </c:pt>
                <c:pt idx="5">
                  <c:v>3</c:v>
                </c:pt>
                <c:pt idx="6">
                  <c:v>36</c:v>
                </c:pt>
                <c:pt idx="7">
                  <c:v>16</c:v>
                </c:pt>
                <c:pt idx="8">
                  <c:v>-46</c:v>
                </c:pt>
                <c:pt idx="9">
                  <c:v>-26</c:v>
                </c:pt>
                <c:pt idx="10">
                  <c:v>-5</c:v>
                </c:pt>
                <c:pt idx="11">
                  <c:v>50</c:v>
                </c:pt>
                <c:pt idx="12">
                  <c:v>-53</c:v>
                </c:pt>
              </c:numCache>
            </c:numRef>
          </c:val>
          <c:smooth val="0"/>
          <c:extLst>
            <c:ext xmlns:c16="http://schemas.microsoft.com/office/drawing/2014/chart" uri="{C3380CC4-5D6E-409C-BE32-E72D297353CC}">
              <c16:uniqueId val="{00000003-CDAB-4793-A1DF-8C5687C3561F}"/>
            </c:ext>
          </c:extLst>
        </c:ser>
        <c:ser>
          <c:idx val="4"/>
          <c:order val="4"/>
          <c:tx>
            <c:strRef>
              <c:f>Balancesheet_Data!$R$6:$R$7</c:f>
              <c:strCache>
                <c:ptCount val="1"/>
                <c:pt idx="0">
                  <c:v>500087</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Balancesheet_Data!$R$8:$R$21</c:f>
              <c:numCache>
                <c:formatCode>General</c:formatCode>
                <c:ptCount val="13"/>
                <c:pt idx="2">
                  <c:v>938</c:v>
                </c:pt>
                <c:pt idx="3">
                  <c:v>281</c:v>
                </c:pt>
                <c:pt idx="4">
                  <c:v>455</c:v>
                </c:pt>
                <c:pt idx="5">
                  <c:v>3499</c:v>
                </c:pt>
                <c:pt idx="6">
                  <c:v>-1089</c:v>
                </c:pt>
                <c:pt idx="7">
                  <c:v>-15</c:v>
                </c:pt>
                <c:pt idx="8">
                  <c:v>218</c:v>
                </c:pt>
                <c:pt idx="9">
                  <c:v>-1500</c:v>
                </c:pt>
                <c:pt idx="10">
                  <c:v>-802</c:v>
                </c:pt>
                <c:pt idx="11">
                  <c:v>-958</c:v>
                </c:pt>
                <c:pt idx="12">
                  <c:v>-253</c:v>
                </c:pt>
              </c:numCache>
            </c:numRef>
          </c:val>
          <c:smooth val="0"/>
          <c:extLst>
            <c:ext xmlns:c16="http://schemas.microsoft.com/office/drawing/2014/chart" uri="{C3380CC4-5D6E-409C-BE32-E72D297353CC}">
              <c16:uniqueId val="{00000004-CDAB-4793-A1DF-8C5687C3561F}"/>
            </c:ext>
          </c:extLst>
        </c:ser>
        <c:ser>
          <c:idx val="5"/>
          <c:order val="5"/>
          <c:tx>
            <c:strRef>
              <c:f>Balancesheet_Data!$S$6:$S$7</c:f>
              <c:strCache>
                <c:ptCount val="1"/>
                <c:pt idx="0">
                  <c:v>500093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Balancesheet_Data!$S$8:$S$21</c:f>
              <c:numCache>
                <c:formatCode>General</c:formatCode>
                <c:ptCount val="13"/>
                <c:pt idx="2">
                  <c:v>985</c:v>
                </c:pt>
                <c:pt idx="3">
                  <c:v>367</c:v>
                </c:pt>
                <c:pt idx="4">
                  <c:v>-304</c:v>
                </c:pt>
                <c:pt idx="5">
                  <c:v>-564</c:v>
                </c:pt>
                <c:pt idx="6">
                  <c:v>-26</c:v>
                </c:pt>
                <c:pt idx="7">
                  <c:v>1539</c:v>
                </c:pt>
                <c:pt idx="8">
                  <c:v>256</c:v>
                </c:pt>
                <c:pt idx="9">
                  <c:v>-540</c:v>
                </c:pt>
                <c:pt idx="10">
                  <c:v>-1273</c:v>
                </c:pt>
                <c:pt idx="11">
                  <c:v>-1117</c:v>
                </c:pt>
                <c:pt idx="12">
                  <c:v>-351</c:v>
                </c:pt>
              </c:numCache>
            </c:numRef>
          </c:val>
          <c:smooth val="0"/>
          <c:extLst>
            <c:ext xmlns:c16="http://schemas.microsoft.com/office/drawing/2014/chart" uri="{C3380CC4-5D6E-409C-BE32-E72D297353CC}">
              <c16:uniqueId val="{00000005-CDAB-4793-A1DF-8C5687C3561F}"/>
            </c:ext>
          </c:extLst>
        </c:ser>
        <c:ser>
          <c:idx val="6"/>
          <c:order val="6"/>
          <c:tx>
            <c:strRef>
              <c:f>Balancesheet_Data!$T$6:$T$7</c:f>
              <c:strCache>
                <c:ptCount val="1"/>
                <c:pt idx="0">
                  <c:v>500096</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Balancesheet_Data!$T$8:$T$21</c:f>
              <c:numCache>
                <c:formatCode>General</c:formatCode>
                <c:ptCount val="13"/>
                <c:pt idx="2">
                  <c:v>83</c:v>
                </c:pt>
                <c:pt idx="3">
                  <c:v>-443</c:v>
                </c:pt>
                <c:pt idx="4">
                  <c:v>26</c:v>
                </c:pt>
                <c:pt idx="5">
                  <c:v>71</c:v>
                </c:pt>
                <c:pt idx="6">
                  <c:v>170</c:v>
                </c:pt>
                <c:pt idx="7">
                  <c:v>-37</c:v>
                </c:pt>
                <c:pt idx="8">
                  <c:v>-239</c:v>
                </c:pt>
                <c:pt idx="9">
                  <c:v>-177</c:v>
                </c:pt>
                <c:pt idx="10">
                  <c:v>-13</c:v>
                </c:pt>
                <c:pt idx="11">
                  <c:v>521</c:v>
                </c:pt>
                <c:pt idx="12">
                  <c:v>144</c:v>
                </c:pt>
              </c:numCache>
            </c:numRef>
          </c:val>
          <c:smooth val="0"/>
          <c:extLst>
            <c:ext xmlns:c16="http://schemas.microsoft.com/office/drawing/2014/chart" uri="{C3380CC4-5D6E-409C-BE32-E72D297353CC}">
              <c16:uniqueId val="{00000006-CDAB-4793-A1DF-8C5687C3561F}"/>
            </c:ext>
          </c:extLst>
        </c:ser>
        <c:ser>
          <c:idx val="7"/>
          <c:order val="7"/>
          <c:tx>
            <c:strRef>
              <c:f>Balancesheet_Data!$U$6:$U$7</c:f>
              <c:strCache>
                <c:ptCount val="1"/>
                <c:pt idx="0">
                  <c:v>500112</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Balancesheet_Data!$U$8:$U$21</c:f>
              <c:numCache>
                <c:formatCode>General</c:formatCode>
                <c:ptCount val="13"/>
                <c:pt idx="2">
                  <c:v>258445</c:v>
                </c:pt>
                <c:pt idx="3">
                  <c:v>231486</c:v>
                </c:pt>
                <c:pt idx="4">
                  <c:v>235012</c:v>
                </c:pt>
                <c:pt idx="5">
                  <c:v>317633</c:v>
                </c:pt>
                <c:pt idx="6">
                  <c:v>320919</c:v>
                </c:pt>
                <c:pt idx="7">
                  <c:v>155082</c:v>
                </c:pt>
                <c:pt idx="8">
                  <c:v>263031</c:v>
                </c:pt>
                <c:pt idx="9">
                  <c:v>252772</c:v>
                </c:pt>
                <c:pt idx="10">
                  <c:v>542066</c:v>
                </c:pt>
                <c:pt idx="11">
                  <c:v>387443</c:v>
                </c:pt>
              </c:numCache>
            </c:numRef>
          </c:val>
          <c:smooth val="0"/>
          <c:extLst>
            <c:ext xmlns:c16="http://schemas.microsoft.com/office/drawing/2014/chart" uri="{C3380CC4-5D6E-409C-BE32-E72D297353CC}">
              <c16:uniqueId val="{00000007-CDAB-4793-A1DF-8C5687C3561F}"/>
            </c:ext>
          </c:extLst>
        </c:ser>
        <c:ser>
          <c:idx val="8"/>
          <c:order val="8"/>
          <c:tx>
            <c:strRef>
              <c:f>Balancesheet_Data!$V$6:$V$7</c:f>
              <c:strCache>
                <c:ptCount val="1"/>
                <c:pt idx="0">
                  <c:v>500114</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Balancesheet_Data!$V$8:$V$21</c:f>
              <c:numCache>
                <c:formatCode>General</c:formatCode>
                <c:ptCount val="13"/>
                <c:pt idx="2">
                  <c:v>-6</c:v>
                </c:pt>
                <c:pt idx="3">
                  <c:v>807</c:v>
                </c:pt>
                <c:pt idx="4">
                  <c:v>-707</c:v>
                </c:pt>
                <c:pt idx="5">
                  <c:v>13</c:v>
                </c:pt>
                <c:pt idx="6">
                  <c:v>1769</c:v>
                </c:pt>
                <c:pt idx="7">
                  <c:v>-191</c:v>
                </c:pt>
                <c:pt idx="8">
                  <c:v>702</c:v>
                </c:pt>
                <c:pt idx="9">
                  <c:v>1169</c:v>
                </c:pt>
                <c:pt idx="10">
                  <c:v>2076</c:v>
                </c:pt>
                <c:pt idx="11">
                  <c:v>1637</c:v>
                </c:pt>
                <c:pt idx="12">
                  <c:v>2092</c:v>
                </c:pt>
              </c:numCache>
            </c:numRef>
          </c:val>
          <c:smooth val="0"/>
          <c:extLst>
            <c:ext xmlns:c16="http://schemas.microsoft.com/office/drawing/2014/chart" uri="{C3380CC4-5D6E-409C-BE32-E72D297353CC}">
              <c16:uniqueId val="{00000008-CDAB-4793-A1DF-8C5687C3561F}"/>
            </c:ext>
          </c:extLst>
        </c:ser>
        <c:ser>
          <c:idx val="9"/>
          <c:order val="9"/>
          <c:tx>
            <c:strRef>
              <c:f>Balancesheet_Data!$W$6:$W$7</c:f>
              <c:strCache>
                <c:ptCount val="1"/>
                <c:pt idx="0">
                  <c:v>500116</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Balancesheet_Data!$W$8:$W$21</c:f>
              <c:numCache>
                <c:formatCode>General</c:formatCode>
                <c:ptCount val="13"/>
                <c:pt idx="2">
                  <c:v>28977</c:v>
                </c:pt>
                <c:pt idx="3">
                  <c:v>3020</c:v>
                </c:pt>
                <c:pt idx="4">
                  <c:v>25636</c:v>
                </c:pt>
                <c:pt idx="5">
                  <c:v>14324</c:v>
                </c:pt>
                <c:pt idx="6">
                  <c:v>-11099</c:v>
                </c:pt>
                <c:pt idx="7">
                  <c:v>-13618</c:v>
                </c:pt>
                <c:pt idx="8">
                  <c:v>-38484</c:v>
                </c:pt>
                <c:pt idx="9">
                  <c:v>-13515</c:v>
                </c:pt>
                <c:pt idx="10">
                  <c:v>-12395</c:v>
                </c:pt>
                <c:pt idx="11">
                  <c:v>627</c:v>
                </c:pt>
              </c:numCache>
            </c:numRef>
          </c:val>
          <c:smooth val="0"/>
          <c:extLst>
            <c:ext xmlns:c16="http://schemas.microsoft.com/office/drawing/2014/chart" uri="{C3380CC4-5D6E-409C-BE32-E72D297353CC}">
              <c16:uniqueId val="{00000009-CDAB-4793-A1DF-8C5687C3561F}"/>
            </c:ext>
          </c:extLst>
        </c:ser>
        <c:ser>
          <c:idx val="10"/>
          <c:order val="10"/>
          <c:tx>
            <c:strRef>
              <c:f>Balancesheet_Data!$X$6:$X$7</c:f>
              <c:strCache>
                <c:ptCount val="1"/>
                <c:pt idx="0">
                  <c:v>500124</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Balancesheet_Data!$X$8:$X$21</c:f>
              <c:numCache>
                <c:formatCode>General</c:formatCode>
                <c:ptCount val="13"/>
                <c:pt idx="2">
                  <c:v>448</c:v>
                </c:pt>
                <c:pt idx="3">
                  <c:v>795</c:v>
                </c:pt>
                <c:pt idx="4">
                  <c:v>-163</c:v>
                </c:pt>
                <c:pt idx="5">
                  <c:v>-962</c:v>
                </c:pt>
                <c:pt idx="6">
                  <c:v>1566</c:v>
                </c:pt>
                <c:pt idx="7">
                  <c:v>153</c:v>
                </c:pt>
                <c:pt idx="8">
                  <c:v>-1233</c:v>
                </c:pt>
                <c:pt idx="9">
                  <c:v>-1628</c:v>
                </c:pt>
                <c:pt idx="10">
                  <c:v>821</c:v>
                </c:pt>
                <c:pt idx="11">
                  <c:v>353</c:v>
                </c:pt>
                <c:pt idx="12">
                  <c:v>-2037</c:v>
                </c:pt>
              </c:numCache>
            </c:numRef>
          </c:val>
          <c:smooth val="0"/>
          <c:extLst>
            <c:ext xmlns:c16="http://schemas.microsoft.com/office/drawing/2014/chart" uri="{C3380CC4-5D6E-409C-BE32-E72D297353CC}">
              <c16:uniqueId val="{0000000A-CDAB-4793-A1DF-8C5687C3561F}"/>
            </c:ext>
          </c:extLst>
        </c:ser>
        <c:ser>
          <c:idx val="11"/>
          <c:order val="11"/>
          <c:tx>
            <c:strRef>
              <c:f>Balancesheet_Data!$Y$6:$Y$7</c:f>
              <c:strCache>
                <c:ptCount val="1"/>
                <c:pt idx="0">
                  <c:v>500180</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Balancesheet_Data!$Y$8:$Y$21</c:f>
              <c:numCache>
                <c:formatCode>General</c:formatCode>
                <c:ptCount val="13"/>
                <c:pt idx="2">
                  <c:v>62714</c:v>
                </c:pt>
                <c:pt idx="3">
                  <c:v>81089</c:v>
                </c:pt>
                <c:pt idx="4">
                  <c:v>93085</c:v>
                </c:pt>
                <c:pt idx="5">
                  <c:v>139825</c:v>
                </c:pt>
                <c:pt idx="6">
                  <c:v>91963</c:v>
                </c:pt>
                <c:pt idx="7">
                  <c:v>203267</c:v>
                </c:pt>
                <c:pt idx="8">
                  <c:v>135418</c:v>
                </c:pt>
                <c:pt idx="9">
                  <c:v>252806</c:v>
                </c:pt>
                <c:pt idx="10">
                  <c:v>178377</c:v>
                </c:pt>
                <c:pt idx="11">
                  <c:v>273552</c:v>
                </c:pt>
              </c:numCache>
            </c:numRef>
          </c:val>
          <c:smooth val="0"/>
          <c:extLst>
            <c:ext xmlns:c16="http://schemas.microsoft.com/office/drawing/2014/chart" uri="{C3380CC4-5D6E-409C-BE32-E72D297353CC}">
              <c16:uniqueId val="{0000000B-CDAB-4793-A1DF-8C5687C3561F}"/>
            </c:ext>
          </c:extLst>
        </c:ser>
        <c:ser>
          <c:idx val="12"/>
          <c:order val="12"/>
          <c:tx>
            <c:strRef>
              <c:f>Balancesheet_Data!$Z$6:$Z$7</c:f>
              <c:strCache>
                <c:ptCount val="1"/>
                <c:pt idx="0">
                  <c:v>500182</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Balancesheet_Data!$Z$8:$Z$21</c:f>
              <c:numCache>
                <c:formatCode>General</c:formatCode>
                <c:ptCount val="13"/>
                <c:pt idx="4">
                  <c:v>-184</c:v>
                </c:pt>
                <c:pt idx="5">
                  <c:v>132</c:v>
                </c:pt>
                <c:pt idx="6">
                  <c:v>29</c:v>
                </c:pt>
                <c:pt idx="7">
                  <c:v>-33</c:v>
                </c:pt>
                <c:pt idx="8">
                  <c:v>84</c:v>
                </c:pt>
                <c:pt idx="9">
                  <c:v>141</c:v>
                </c:pt>
                <c:pt idx="10">
                  <c:v>131</c:v>
                </c:pt>
                <c:pt idx="11">
                  <c:v>21</c:v>
                </c:pt>
                <c:pt idx="12">
                  <c:v>-37</c:v>
                </c:pt>
              </c:numCache>
            </c:numRef>
          </c:val>
          <c:smooth val="0"/>
          <c:extLst>
            <c:ext xmlns:c16="http://schemas.microsoft.com/office/drawing/2014/chart" uri="{C3380CC4-5D6E-409C-BE32-E72D297353CC}">
              <c16:uniqueId val="{0000000C-CDAB-4793-A1DF-8C5687C3561F}"/>
            </c:ext>
          </c:extLst>
        </c:ser>
        <c:ser>
          <c:idx val="13"/>
          <c:order val="13"/>
          <c:tx>
            <c:strRef>
              <c:f>Balancesheet_Data!$AA$6:$AA$7</c:f>
              <c:strCache>
                <c:ptCount val="1"/>
                <c:pt idx="0">
                  <c:v>500188</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Balancesheet_Data!$AA$8:$AA$21</c:f>
              <c:numCache>
                <c:formatCode>General</c:formatCode>
                <c:ptCount val="13"/>
                <c:pt idx="2">
                  <c:v>0</c:v>
                </c:pt>
                <c:pt idx="3">
                  <c:v>0</c:v>
                </c:pt>
                <c:pt idx="4">
                  <c:v>0</c:v>
                </c:pt>
                <c:pt idx="5">
                  <c:v>0</c:v>
                </c:pt>
                <c:pt idx="6">
                  <c:v>7908</c:v>
                </c:pt>
                <c:pt idx="7">
                  <c:v>-7908</c:v>
                </c:pt>
                <c:pt idx="8">
                  <c:v>2538</c:v>
                </c:pt>
                <c:pt idx="9">
                  <c:v>-1927</c:v>
                </c:pt>
                <c:pt idx="10">
                  <c:v>6590</c:v>
                </c:pt>
                <c:pt idx="11">
                  <c:v>-4357</c:v>
                </c:pt>
                <c:pt idx="12">
                  <c:v>9037</c:v>
                </c:pt>
              </c:numCache>
            </c:numRef>
          </c:val>
          <c:smooth val="0"/>
          <c:extLst>
            <c:ext xmlns:c16="http://schemas.microsoft.com/office/drawing/2014/chart" uri="{C3380CC4-5D6E-409C-BE32-E72D297353CC}">
              <c16:uniqueId val="{0000000D-CDAB-4793-A1DF-8C5687C3561F}"/>
            </c:ext>
          </c:extLst>
        </c:ser>
        <c:ser>
          <c:idx val="14"/>
          <c:order val="14"/>
          <c:tx>
            <c:strRef>
              <c:f>Balancesheet_Data!$AB$6:$AB$7</c:f>
              <c:strCache>
                <c:ptCount val="1"/>
                <c:pt idx="0">
                  <c:v>500209</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Balancesheet_Data!$AB$8:$AB$21</c:f>
              <c:numCache>
                <c:formatCode>General</c:formatCode>
                <c:ptCount val="13"/>
                <c:pt idx="2">
                  <c:v>0</c:v>
                </c:pt>
                <c:pt idx="3">
                  <c:v>0</c:v>
                </c:pt>
                <c:pt idx="4">
                  <c:v>0</c:v>
                </c:pt>
                <c:pt idx="5">
                  <c:v>0</c:v>
                </c:pt>
                <c:pt idx="6">
                  <c:v>0</c:v>
                </c:pt>
                <c:pt idx="7">
                  <c:v>0</c:v>
                </c:pt>
                <c:pt idx="8">
                  <c:v>0</c:v>
                </c:pt>
                <c:pt idx="9">
                  <c:v>4633</c:v>
                </c:pt>
                <c:pt idx="10">
                  <c:v>692</c:v>
                </c:pt>
                <c:pt idx="11">
                  <c:v>149</c:v>
                </c:pt>
                <c:pt idx="12">
                  <c:v>2825</c:v>
                </c:pt>
              </c:numCache>
            </c:numRef>
          </c:val>
          <c:smooth val="0"/>
          <c:extLst>
            <c:ext xmlns:c16="http://schemas.microsoft.com/office/drawing/2014/chart" uri="{C3380CC4-5D6E-409C-BE32-E72D297353CC}">
              <c16:uniqueId val="{0000000E-CDAB-4793-A1DF-8C5687C3561F}"/>
            </c:ext>
          </c:extLst>
        </c:ser>
        <c:ser>
          <c:idx val="15"/>
          <c:order val="15"/>
          <c:tx>
            <c:strRef>
              <c:f>Balancesheet_Data!$AC$6:$AC$7</c:f>
              <c:strCache>
                <c:ptCount val="1"/>
                <c:pt idx="0">
                  <c:v>500228</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Balancesheet_Data!$AC$8:$AC$21</c:f>
              <c:numCache>
                <c:formatCode>General</c:formatCode>
                <c:ptCount val="13"/>
                <c:pt idx="2">
                  <c:v>1437</c:v>
                </c:pt>
                <c:pt idx="3">
                  <c:v>13416</c:v>
                </c:pt>
                <c:pt idx="4">
                  <c:v>3228</c:v>
                </c:pt>
                <c:pt idx="5">
                  <c:v>4214</c:v>
                </c:pt>
                <c:pt idx="6">
                  <c:v>1130</c:v>
                </c:pt>
                <c:pt idx="7">
                  <c:v>-4149</c:v>
                </c:pt>
                <c:pt idx="8">
                  <c:v>8191</c:v>
                </c:pt>
                <c:pt idx="9">
                  <c:v>14023</c:v>
                </c:pt>
                <c:pt idx="10">
                  <c:v>5302</c:v>
                </c:pt>
                <c:pt idx="11">
                  <c:v>5507</c:v>
                </c:pt>
                <c:pt idx="12">
                  <c:v>8645</c:v>
                </c:pt>
              </c:numCache>
            </c:numRef>
          </c:val>
          <c:smooth val="0"/>
          <c:extLst>
            <c:ext xmlns:c16="http://schemas.microsoft.com/office/drawing/2014/chart" uri="{C3380CC4-5D6E-409C-BE32-E72D297353CC}">
              <c16:uniqueId val="{0000000F-CDAB-4793-A1DF-8C5687C3561F}"/>
            </c:ext>
          </c:extLst>
        </c:ser>
        <c:ser>
          <c:idx val="16"/>
          <c:order val="16"/>
          <c:tx>
            <c:strRef>
              <c:f>Balancesheet_Data!$AD$6:$AD$7</c:f>
              <c:strCache>
                <c:ptCount val="1"/>
                <c:pt idx="0">
                  <c:v>500247</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Balancesheet_Data!$AD$8:$AD$21</c:f>
              <c:numCache>
                <c:formatCode>General</c:formatCode>
                <c:ptCount val="13"/>
                <c:pt idx="2">
                  <c:v>19906</c:v>
                </c:pt>
                <c:pt idx="3">
                  <c:v>376</c:v>
                </c:pt>
                <c:pt idx="4">
                  <c:v>18321</c:v>
                </c:pt>
                <c:pt idx="5">
                  <c:v>75421</c:v>
                </c:pt>
                <c:pt idx="6">
                  <c:v>25551</c:v>
                </c:pt>
                <c:pt idx="7">
                  <c:v>44610</c:v>
                </c:pt>
                <c:pt idx="8">
                  <c:v>41423</c:v>
                </c:pt>
                <c:pt idx="9">
                  <c:v>34714</c:v>
                </c:pt>
                <c:pt idx="10">
                  <c:v>633</c:v>
                </c:pt>
                <c:pt idx="11">
                  <c:v>38625</c:v>
                </c:pt>
              </c:numCache>
            </c:numRef>
          </c:val>
          <c:smooth val="0"/>
          <c:extLst>
            <c:ext xmlns:c16="http://schemas.microsoft.com/office/drawing/2014/chart" uri="{C3380CC4-5D6E-409C-BE32-E72D297353CC}">
              <c16:uniqueId val="{00000010-CDAB-4793-A1DF-8C5687C3561F}"/>
            </c:ext>
          </c:extLst>
        </c:ser>
        <c:ser>
          <c:idx val="17"/>
          <c:order val="17"/>
          <c:tx>
            <c:strRef>
              <c:f>Balancesheet_Data!$AE$6:$AE$7</c:f>
              <c:strCache>
                <c:ptCount val="1"/>
                <c:pt idx="0">
                  <c:v>500251</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Balancesheet_Data!$AE$8:$AE$21</c:f>
              <c:numCache>
                <c:formatCode>General</c:formatCode>
                <c:ptCount val="13"/>
                <c:pt idx="2">
                  <c:v>35</c:v>
                </c:pt>
                <c:pt idx="3">
                  <c:v>-4</c:v>
                </c:pt>
                <c:pt idx="4">
                  <c:v>-65</c:v>
                </c:pt>
                <c:pt idx="5">
                  <c:v>133</c:v>
                </c:pt>
                <c:pt idx="6">
                  <c:v>-8</c:v>
                </c:pt>
                <c:pt idx="7">
                  <c:v>-1</c:v>
                </c:pt>
                <c:pt idx="8">
                  <c:v>103</c:v>
                </c:pt>
                <c:pt idx="9">
                  <c:v>-194</c:v>
                </c:pt>
                <c:pt idx="10">
                  <c:v>0</c:v>
                </c:pt>
                <c:pt idx="11">
                  <c:v>4425</c:v>
                </c:pt>
                <c:pt idx="12">
                  <c:v>-261</c:v>
                </c:pt>
              </c:numCache>
            </c:numRef>
          </c:val>
          <c:smooth val="0"/>
          <c:extLst>
            <c:ext xmlns:c16="http://schemas.microsoft.com/office/drawing/2014/chart" uri="{C3380CC4-5D6E-409C-BE32-E72D297353CC}">
              <c16:uniqueId val="{00000011-CDAB-4793-A1DF-8C5687C3561F}"/>
            </c:ext>
          </c:extLst>
        </c:ser>
        <c:ser>
          <c:idx val="18"/>
          <c:order val="18"/>
          <c:tx>
            <c:strRef>
              <c:f>Balancesheet_Data!$AF$6:$AF$7</c:f>
              <c:strCache>
                <c:ptCount val="1"/>
                <c:pt idx="0">
                  <c:v>500295</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Balancesheet_Data!$AF$8:$AF$21</c:f>
              <c:numCache>
                <c:formatCode>General</c:formatCode>
                <c:ptCount val="13"/>
                <c:pt idx="2">
                  <c:v>1098</c:v>
                </c:pt>
                <c:pt idx="3">
                  <c:v>75727</c:v>
                </c:pt>
                <c:pt idx="4">
                  <c:v>-2814</c:v>
                </c:pt>
                <c:pt idx="5">
                  <c:v>-9974</c:v>
                </c:pt>
                <c:pt idx="6">
                  <c:v>3791</c:v>
                </c:pt>
                <c:pt idx="7">
                  <c:v>-13410</c:v>
                </c:pt>
                <c:pt idx="8">
                  <c:v>8067</c:v>
                </c:pt>
                <c:pt idx="9">
                  <c:v>-7041</c:v>
                </c:pt>
                <c:pt idx="10">
                  <c:v>-1518</c:v>
                </c:pt>
                <c:pt idx="11">
                  <c:v>-4086</c:v>
                </c:pt>
                <c:pt idx="12">
                  <c:v>13047</c:v>
                </c:pt>
              </c:numCache>
            </c:numRef>
          </c:val>
          <c:smooth val="0"/>
          <c:extLst>
            <c:ext xmlns:c16="http://schemas.microsoft.com/office/drawing/2014/chart" uri="{C3380CC4-5D6E-409C-BE32-E72D297353CC}">
              <c16:uniqueId val="{00000012-CDAB-4793-A1DF-8C5687C3561F}"/>
            </c:ext>
          </c:extLst>
        </c:ser>
        <c:ser>
          <c:idx val="19"/>
          <c:order val="19"/>
          <c:tx>
            <c:strRef>
              <c:f>Balancesheet_Data!$AG$6:$AG$7</c:f>
              <c:strCache>
                <c:ptCount val="1"/>
                <c:pt idx="0">
                  <c:v>500300</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Balancesheet_Data!$AG$8:$AG$21</c:f>
              <c:numCache>
                <c:formatCode>General</c:formatCode>
                <c:ptCount val="13"/>
                <c:pt idx="2">
                  <c:v>2512</c:v>
                </c:pt>
                <c:pt idx="3">
                  <c:v>131</c:v>
                </c:pt>
                <c:pt idx="4">
                  <c:v>2249</c:v>
                </c:pt>
                <c:pt idx="5">
                  <c:v>575</c:v>
                </c:pt>
                <c:pt idx="6">
                  <c:v>-3292</c:v>
                </c:pt>
                <c:pt idx="7">
                  <c:v>57801</c:v>
                </c:pt>
                <c:pt idx="8">
                  <c:v>17404</c:v>
                </c:pt>
                <c:pt idx="9">
                  <c:v>348</c:v>
                </c:pt>
                <c:pt idx="10">
                  <c:v>-5699</c:v>
                </c:pt>
                <c:pt idx="11">
                  <c:v>-4334</c:v>
                </c:pt>
                <c:pt idx="12">
                  <c:v>28306</c:v>
                </c:pt>
              </c:numCache>
            </c:numRef>
          </c:val>
          <c:smooth val="0"/>
          <c:extLst>
            <c:ext xmlns:c16="http://schemas.microsoft.com/office/drawing/2014/chart" uri="{C3380CC4-5D6E-409C-BE32-E72D297353CC}">
              <c16:uniqueId val="{00000013-CDAB-4793-A1DF-8C5687C3561F}"/>
            </c:ext>
          </c:extLst>
        </c:ser>
        <c:ser>
          <c:idx val="20"/>
          <c:order val="20"/>
          <c:tx>
            <c:strRef>
              <c:f>Balancesheet_Data!$AH$6:$AH$7</c:f>
              <c:strCache>
                <c:ptCount val="1"/>
                <c:pt idx="0">
                  <c:v>500312</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Balancesheet_Data!$AH$8:$AH$21</c:f>
              <c:numCache>
                <c:formatCode>General</c:formatCode>
                <c:ptCount val="13"/>
                <c:pt idx="1">
                  <c:v>9269</c:v>
                </c:pt>
                <c:pt idx="2">
                  <c:v>4713</c:v>
                </c:pt>
                <c:pt idx="3">
                  <c:v>28427</c:v>
                </c:pt>
                <c:pt idx="4">
                  <c:v>4831</c:v>
                </c:pt>
                <c:pt idx="5">
                  <c:v>-8444</c:v>
                </c:pt>
                <c:pt idx="6">
                  <c:v>34529</c:v>
                </c:pt>
                <c:pt idx="7">
                  <c:v>26521</c:v>
                </c:pt>
                <c:pt idx="8">
                  <c:v>1192</c:v>
                </c:pt>
                <c:pt idx="9">
                  <c:v>21731</c:v>
                </c:pt>
                <c:pt idx="10">
                  <c:v>3714</c:v>
                </c:pt>
                <c:pt idx="11">
                  <c:v>17165</c:v>
                </c:pt>
              </c:numCache>
            </c:numRef>
          </c:val>
          <c:smooth val="0"/>
          <c:extLst>
            <c:ext xmlns:c16="http://schemas.microsoft.com/office/drawing/2014/chart" uri="{C3380CC4-5D6E-409C-BE32-E72D297353CC}">
              <c16:uniqueId val="{00000014-CDAB-4793-A1DF-8C5687C3561F}"/>
            </c:ext>
          </c:extLst>
        </c:ser>
        <c:ser>
          <c:idx val="21"/>
          <c:order val="21"/>
          <c:tx>
            <c:strRef>
              <c:f>Balancesheet_Data!$AI$6:$AI$7</c:f>
              <c:strCache>
                <c:ptCount val="1"/>
                <c:pt idx="0">
                  <c:v>500325</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Balancesheet_Data!$AI$8:$AI$21</c:f>
              <c:numCache>
                <c:formatCode>General</c:formatCode>
                <c:ptCount val="13"/>
                <c:pt idx="2">
                  <c:v>14772</c:v>
                </c:pt>
                <c:pt idx="3">
                  <c:v>31542</c:v>
                </c:pt>
                <c:pt idx="4">
                  <c:v>29490</c:v>
                </c:pt>
                <c:pt idx="5">
                  <c:v>26463</c:v>
                </c:pt>
                <c:pt idx="6">
                  <c:v>22761</c:v>
                </c:pt>
                <c:pt idx="7">
                  <c:v>22368</c:v>
                </c:pt>
                <c:pt idx="8">
                  <c:v>67871</c:v>
                </c:pt>
                <c:pt idx="9">
                  <c:v>47419</c:v>
                </c:pt>
                <c:pt idx="10">
                  <c:v>-76171</c:v>
                </c:pt>
                <c:pt idx="11">
                  <c:v>40196</c:v>
                </c:pt>
                <c:pt idx="12">
                  <c:v>15976</c:v>
                </c:pt>
              </c:numCache>
            </c:numRef>
          </c:val>
          <c:smooth val="0"/>
          <c:extLst>
            <c:ext xmlns:c16="http://schemas.microsoft.com/office/drawing/2014/chart" uri="{C3380CC4-5D6E-409C-BE32-E72D297353CC}">
              <c16:uniqueId val="{00000015-CDAB-4793-A1DF-8C5687C3561F}"/>
            </c:ext>
          </c:extLst>
        </c:ser>
        <c:ser>
          <c:idx val="22"/>
          <c:order val="22"/>
          <c:tx>
            <c:strRef>
              <c:f>Balancesheet_Data!$AJ$6:$AJ$7</c:f>
              <c:strCache>
                <c:ptCount val="1"/>
                <c:pt idx="0">
                  <c:v>500331</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Balancesheet_Data!$AJ$8:$AJ$21</c:f>
              <c:numCache>
                <c:formatCode>General</c:formatCode>
                <c:ptCount val="13"/>
                <c:pt idx="2">
                  <c:v>-210</c:v>
                </c:pt>
                <c:pt idx="3">
                  <c:v>-65</c:v>
                </c:pt>
                <c:pt idx="4">
                  <c:v>12</c:v>
                </c:pt>
                <c:pt idx="5">
                  <c:v>22</c:v>
                </c:pt>
                <c:pt idx="6">
                  <c:v>18</c:v>
                </c:pt>
                <c:pt idx="7">
                  <c:v>27</c:v>
                </c:pt>
                <c:pt idx="8">
                  <c:v>-12</c:v>
                </c:pt>
                <c:pt idx="9">
                  <c:v>175</c:v>
                </c:pt>
                <c:pt idx="10">
                  <c:v>43</c:v>
                </c:pt>
                <c:pt idx="11">
                  <c:v>85</c:v>
                </c:pt>
                <c:pt idx="12">
                  <c:v>-25</c:v>
                </c:pt>
              </c:numCache>
            </c:numRef>
          </c:val>
          <c:smooth val="0"/>
          <c:extLst>
            <c:ext xmlns:c16="http://schemas.microsoft.com/office/drawing/2014/chart" uri="{C3380CC4-5D6E-409C-BE32-E72D297353CC}">
              <c16:uniqueId val="{00000016-CDAB-4793-A1DF-8C5687C3561F}"/>
            </c:ext>
          </c:extLst>
        </c:ser>
        <c:ser>
          <c:idx val="23"/>
          <c:order val="23"/>
          <c:tx>
            <c:strRef>
              <c:f>Balancesheet_Data!$AK$6:$AK$7</c:f>
              <c:strCache>
                <c:ptCount val="1"/>
                <c:pt idx="0">
                  <c:v>500387</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Balancesheet_Data!$AK$8:$AK$21</c:f>
              <c:numCache>
                <c:formatCode>General</c:formatCode>
                <c:ptCount val="13"/>
                <c:pt idx="2">
                  <c:v>-876</c:v>
                </c:pt>
                <c:pt idx="3">
                  <c:v>-88</c:v>
                </c:pt>
                <c:pt idx="4">
                  <c:v>-283</c:v>
                </c:pt>
                <c:pt idx="5">
                  <c:v>-36</c:v>
                </c:pt>
                <c:pt idx="6">
                  <c:v>412</c:v>
                </c:pt>
                <c:pt idx="7">
                  <c:v>2110</c:v>
                </c:pt>
                <c:pt idx="8">
                  <c:v>-605</c:v>
                </c:pt>
                <c:pt idx="9">
                  <c:v>346</c:v>
                </c:pt>
                <c:pt idx="10">
                  <c:v>-988</c:v>
                </c:pt>
                <c:pt idx="11">
                  <c:v>53</c:v>
                </c:pt>
                <c:pt idx="12">
                  <c:v>602</c:v>
                </c:pt>
              </c:numCache>
            </c:numRef>
          </c:val>
          <c:smooth val="0"/>
          <c:extLst>
            <c:ext xmlns:c16="http://schemas.microsoft.com/office/drawing/2014/chart" uri="{C3380CC4-5D6E-409C-BE32-E72D297353CC}">
              <c16:uniqueId val="{00000017-CDAB-4793-A1DF-8C5687C3561F}"/>
            </c:ext>
          </c:extLst>
        </c:ser>
        <c:ser>
          <c:idx val="24"/>
          <c:order val="24"/>
          <c:tx>
            <c:strRef>
              <c:f>Balancesheet_Data!$AL$6:$AL$7</c:f>
              <c:strCache>
                <c:ptCount val="1"/>
                <c:pt idx="0">
                  <c:v>500400</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Balancesheet_Data!$AL$8:$AL$21</c:f>
              <c:numCache>
                <c:formatCode>General</c:formatCode>
                <c:ptCount val="13"/>
                <c:pt idx="2">
                  <c:v>4022</c:v>
                </c:pt>
                <c:pt idx="3">
                  <c:v>2291</c:v>
                </c:pt>
                <c:pt idx="4">
                  <c:v>434</c:v>
                </c:pt>
                <c:pt idx="5">
                  <c:v>-1758</c:v>
                </c:pt>
                <c:pt idx="6">
                  <c:v>9966</c:v>
                </c:pt>
                <c:pt idx="7">
                  <c:v>-471</c:v>
                </c:pt>
                <c:pt idx="8">
                  <c:v>162</c:v>
                </c:pt>
                <c:pt idx="9">
                  <c:v>3430</c:v>
                </c:pt>
                <c:pt idx="10">
                  <c:v>-5228</c:v>
                </c:pt>
                <c:pt idx="11">
                  <c:v>4487</c:v>
                </c:pt>
                <c:pt idx="12">
                  <c:v>1728</c:v>
                </c:pt>
              </c:numCache>
            </c:numRef>
          </c:val>
          <c:smooth val="0"/>
          <c:extLst>
            <c:ext xmlns:c16="http://schemas.microsoft.com/office/drawing/2014/chart" uri="{C3380CC4-5D6E-409C-BE32-E72D297353CC}">
              <c16:uniqueId val="{00000018-CDAB-4793-A1DF-8C5687C3561F}"/>
            </c:ext>
          </c:extLst>
        </c:ser>
        <c:ser>
          <c:idx val="25"/>
          <c:order val="25"/>
          <c:tx>
            <c:strRef>
              <c:f>Balancesheet_Data!$AM$6:$AM$7</c:f>
              <c:strCache>
                <c:ptCount val="1"/>
                <c:pt idx="0">
                  <c:v>500420</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Balancesheet_Data!$AM$8:$AM$21</c:f>
              <c:numCache>
                <c:formatCode>General</c:formatCode>
                <c:ptCount val="13"/>
                <c:pt idx="1">
                  <c:v>7</c:v>
                </c:pt>
                <c:pt idx="2">
                  <c:v>114</c:v>
                </c:pt>
                <c:pt idx="3">
                  <c:v>439</c:v>
                </c:pt>
                <c:pt idx="4">
                  <c:v>1608</c:v>
                </c:pt>
                <c:pt idx="5">
                  <c:v>-388</c:v>
                </c:pt>
                <c:pt idx="6">
                  <c:v>158</c:v>
                </c:pt>
                <c:pt idx="7">
                  <c:v>3952</c:v>
                </c:pt>
                <c:pt idx="8">
                  <c:v>-424</c:v>
                </c:pt>
                <c:pt idx="9">
                  <c:v>-254</c:v>
                </c:pt>
                <c:pt idx="10">
                  <c:v>-910</c:v>
                </c:pt>
                <c:pt idx="11">
                  <c:v>-791</c:v>
                </c:pt>
              </c:numCache>
            </c:numRef>
          </c:val>
          <c:smooth val="0"/>
          <c:extLst>
            <c:ext xmlns:c16="http://schemas.microsoft.com/office/drawing/2014/chart" uri="{C3380CC4-5D6E-409C-BE32-E72D297353CC}">
              <c16:uniqueId val="{00000019-CDAB-4793-A1DF-8C5687C3561F}"/>
            </c:ext>
          </c:extLst>
        </c:ser>
        <c:ser>
          <c:idx val="26"/>
          <c:order val="26"/>
          <c:tx>
            <c:strRef>
              <c:f>Balancesheet_Data!$AN$6:$AN$7</c:f>
              <c:strCache>
                <c:ptCount val="1"/>
                <c:pt idx="0">
                  <c:v>500425</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Balancesheet_Data!$AN$8:$AN$21</c:f>
              <c:numCache>
                <c:formatCode>General</c:formatCode>
                <c:ptCount val="13"/>
                <c:pt idx="1">
                  <c:v>-9</c:v>
                </c:pt>
                <c:pt idx="2">
                  <c:v>-12</c:v>
                </c:pt>
                <c:pt idx="3">
                  <c:v>-14</c:v>
                </c:pt>
                <c:pt idx="4">
                  <c:v>1</c:v>
                </c:pt>
                <c:pt idx="5">
                  <c:v>-6</c:v>
                </c:pt>
                <c:pt idx="6">
                  <c:v>-5</c:v>
                </c:pt>
                <c:pt idx="7">
                  <c:v>16</c:v>
                </c:pt>
                <c:pt idx="8">
                  <c:v>1</c:v>
                </c:pt>
                <c:pt idx="9">
                  <c:v>430</c:v>
                </c:pt>
                <c:pt idx="10">
                  <c:v>6</c:v>
                </c:pt>
                <c:pt idx="11">
                  <c:v>-2</c:v>
                </c:pt>
              </c:numCache>
            </c:numRef>
          </c:val>
          <c:smooth val="0"/>
          <c:extLst>
            <c:ext xmlns:c16="http://schemas.microsoft.com/office/drawing/2014/chart" uri="{C3380CC4-5D6E-409C-BE32-E72D297353CC}">
              <c16:uniqueId val="{0000001A-CDAB-4793-A1DF-8C5687C3561F}"/>
            </c:ext>
          </c:extLst>
        </c:ser>
        <c:ser>
          <c:idx val="27"/>
          <c:order val="27"/>
          <c:tx>
            <c:strRef>
              <c:f>Balancesheet_Data!$AO$6:$AO$7</c:f>
              <c:strCache>
                <c:ptCount val="1"/>
                <c:pt idx="0">
                  <c:v>500440</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Balancesheet_Data!$AO$8:$AO$21</c:f>
              <c:numCache>
                <c:formatCode>General</c:formatCode>
                <c:ptCount val="13"/>
                <c:pt idx="2">
                  <c:v>15935</c:v>
                </c:pt>
                <c:pt idx="3">
                  <c:v>7805</c:v>
                </c:pt>
                <c:pt idx="4">
                  <c:v>3712</c:v>
                </c:pt>
                <c:pt idx="5">
                  <c:v>-916</c:v>
                </c:pt>
                <c:pt idx="6">
                  <c:v>-3735</c:v>
                </c:pt>
                <c:pt idx="7">
                  <c:v>-11743</c:v>
                </c:pt>
                <c:pt idx="8">
                  <c:v>341</c:v>
                </c:pt>
                <c:pt idx="9">
                  <c:v>15984</c:v>
                </c:pt>
                <c:pt idx="10">
                  <c:v>-1193</c:v>
                </c:pt>
                <c:pt idx="11">
                  <c:v>-2720</c:v>
                </c:pt>
                <c:pt idx="12">
                  <c:v>1440</c:v>
                </c:pt>
              </c:numCache>
            </c:numRef>
          </c:val>
          <c:smooth val="0"/>
          <c:extLst>
            <c:ext xmlns:c16="http://schemas.microsoft.com/office/drawing/2014/chart" uri="{C3380CC4-5D6E-409C-BE32-E72D297353CC}">
              <c16:uniqueId val="{0000001B-CDAB-4793-A1DF-8C5687C3561F}"/>
            </c:ext>
          </c:extLst>
        </c:ser>
        <c:ser>
          <c:idx val="28"/>
          <c:order val="28"/>
          <c:tx>
            <c:strRef>
              <c:f>Balancesheet_Data!$AP$6:$AP$7</c:f>
              <c:strCache>
                <c:ptCount val="1"/>
                <c:pt idx="0">
                  <c:v>500470</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Balancesheet_Data!$AP$8:$AP$21</c:f>
              <c:numCache>
                <c:formatCode>General</c:formatCode>
                <c:ptCount val="13"/>
                <c:pt idx="2">
                  <c:v>8610</c:v>
                </c:pt>
                <c:pt idx="3">
                  <c:v>13102</c:v>
                </c:pt>
                <c:pt idx="4">
                  <c:v>-908</c:v>
                </c:pt>
                <c:pt idx="5">
                  <c:v>1286</c:v>
                </c:pt>
                <c:pt idx="6">
                  <c:v>1027</c:v>
                </c:pt>
                <c:pt idx="7">
                  <c:v>9113</c:v>
                </c:pt>
                <c:pt idx="8">
                  <c:v>8676</c:v>
                </c:pt>
                <c:pt idx="9">
                  <c:v>15525</c:v>
                </c:pt>
                <c:pt idx="10">
                  <c:v>-27827</c:v>
                </c:pt>
                <c:pt idx="11">
                  <c:v>-12940</c:v>
                </c:pt>
                <c:pt idx="12">
                  <c:v>9332</c:v>
                </c:pt>
              </c:numCache>
            </c:numRef>
          </c:val>
          <c:smooth val="0"/>
          <c:extLst>
            <c:ext xmlns:c16="http://schemas.microsoft.com/office/drawing/2014/chart" uri="{C3380CC4-5D6E-409C-BE32-E72D297353CC}">
              <c16:uniqueId val="{0000001C-CDAB-4793-A1DF-8C5687C3561F}"/>
            </c:ext>
          </c:extLst>
        </c:ser>
        <c:ser>
          <c:idx val="29"/>
          <c:order val="29"/>
          <c:tx>
            <c:strRef>
              <c:f>Balancesheet_Data!$AQ$6:$AQ$7</c:f>
              <c:strCache>
                <c:ptCount val="1"/>
                <c:pt idx="0">
                  <c:v>500490</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Balancesheet_Data!$AQ$8:$AQ$21</c:f>
              <c:numCache>
                <c:formatCode>General</c:formatCode>
                <c:ptCount val="13"/>
                <c:pt idx="2">
                  <c:v>0</c:v>
                </c:pt>
                <c:pt idx="3">
                  <c:v>0</c:v>
                </c:pt>
                <c:pt idx="4">
                  <c:v>0</c:v>
                </c:pt>
                <c:pt idx="5">
                  <c:v>0</c:v>
                </c:pt>
                <c:pt idx="6">
                  <c:v>0</c:v>
                </c:pt>
                <c:pt idx="7">
                  <c:v>0</c:v>
                </c:pt>
                <c:pt idx="8">
                  <c:v>0</c:v>
                </c:pt>
                <c:pt idx="9">
                  <c:v>168</c:v>
                </c:pt>
                <c:pt idx="10">
                  <c:v>-32</c:v>
                </c:pt>
                <c:pt idx="11">
                  <c:v>-22</c:v>
                </c:pt>
                <c:pt idx="12">
                  <c:v>-21</c:v>
                </c:pt>
              </c:numCache>
            </c:numRef>
          </c:val>
          <c:smooth val="0"/>
          <c:extLst>
            <c:ext xmlns:c16="http://schemas.microsoft.com/office/drawing/2014/chart" uri="{C3380CC4-5D6E-409C-BE32-E72D297353CC}">
              <c16:uniqueId val="{0000001D-CDAB-4793-A1DF-8C5687C3561F}"/>
            </c:ext>
          </c:extLst>
        </c:ser>
        <c:ser>
          <c:idx val="30"/>
          <c:order val="30"/>
          <c:tx>
            <c:strRef>
              <c:f>Balancesheet_Data!$AR$6:$AR$7</c:f>
              <c:strCache>
                <c:ptCount val="1"/>
                <c:pt idx="0">
                  <c:v>500510</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Balancesheet_Data!$AR$8:$AR$21</c:f>
              <c:numCache>
                <c:formatCode>General</c:formatCode>
                <c:ptCount val="13"/>
                <c:pt idx="2">
                  <c:v>11576</c:v>
                </c:pt>
                <c:pt idx="3">
                  <c:v>17702</c:v>
                </c:pt>
                <c:pt idx="4">
                  <c:v>12784</c:v>
                </c:pt>
                <c:pt idx="5">
                  <c:v>-6808</c:v>
                </c:pt>
                <c:pt idx="6">
                  <c:v>5985</c:v>
                </c:pt>
                <c:pt idx="7">
                  <c:v>13812</c:v>
                </c:pt>
                <c:pt idx="8">
                  <c:v>17960</c:v>
                </c:pt>
                <c:pt idx="9">
                  <c:v>17191</c:v>
                </c:pt>
                <c:pt idx="10">
                  <c:v>-8265</c:v>
                </c:pt>
                <c:pt idx="11">
                  <c:v>-8213</c:v>
                </c:pt>
                <c:pt idx="12">
                  <c:v>-4642</c:v>
                </c:pt>
              </c:numCache>
            </c:numRef>
          </c:val>
          <c:smooth val="0"/>
          <c:extLst>
            <c:ext xmlns:c16="http://schemas.microsoft.com/office/drawing/2014/chart" uri="{C3380CC4-5D6E-409C-BE32-E72D297353CC}">
              <c16:uniqueId val="{0000001E-CDAB-4793-A1DF-8C5687C3561F}"/>
            </c:ext>
          </c:extLst>
        </c:ser>
        <c:ser>
          <c:idx val="31"/>
          <c:order val="31"/>
          <c:tx>
            <c:strRef>
              <c:f>Balancesheet_Data!$AS$6:$AS$7</c:f>
              <c:strCache>
                <c:ptCount val="1"/>
                <c:pt idx="0">
                  <c:v>500520</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Balancesheet_Data!$AS$8:$AS$21</c:f>
              <c:numCache>
                <c:formatCode>General</c:formatCode>
                <c:ptCount val="13"/>
                <c:pt idx="2">
                  <c:v>5590</c:v>
                </c:pt>
                <c:pt idx="3">
                  <c:v>6456</c:v>
                </c:pt>
                <c:pt idx="4">
                  <c:v>2744</c:v>
                </c:pt>
                <c:pt idx="5">
                  <c:v>3642</c:v>
                </c:pt>
                <c:pt idx="6">
                  <c:v>7209</c:v>
                </c:pt>
                <c:pt idx="7">
                  <c:v>7136</c:v>
                </c:pt>
                <c:pt idx="8">
                  <c:v>14950</c:v>
                </c:pt>
                <c:pt idx="9">
                  <c:v>11244</c:v>
                </c:pt>
                <c:pt idx="10">
                  <c:v>-1467</c:v>
                </c:pt>
                <c:pt idx="11">
                  <c:v>-3020</c:v>
                </c:pt>
                <c:pt idx="12">
                  <c:v>14642</c:v>
                </c:pt>
              </c:numCache>
            </c:numRef>
          </c:val>
          <c:smooth val="0"/>
          <c:extLst>
            <c:ext xmlns:c16="http://schemas.microsoft.com/office/drawing/2014/chart" uri="{C3380CC4-5D6E-409C-BE32-E72D297353CC}">
              <c16:uniqueId val="{0000001F-CDAB-4793-A1DF-8C5687C3561F}"/>
            </c:ext>
          </c:extLst>
        </c:ser>
        <c:ser>
          <c:idx val="32"/>
          <c:order val="32"/>
          <c:tx>
            <c:strRef>
              <c:f>Balancesheet_Data!$AT$6:$AT$7</c:f>
              <c:strCache>
                <c:ptCount val="1"/>
                <c:pt idx="0">
                  <c:v>500530</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Balancesheet_Data!$AT$8:$AT$21</c:f>
              <c:numCache>
                <c:formatCode>General</c:formatCode>
                <c:ptCount val="13"/>
                <c:pt idx="1">
                  <c:v>-77</c:v>
                </c:pt>
                <c:pt idx="2">
                  <c:v>-47</c:v>
                </c:pt>
                <c:pt idx="4">
                  <c:v>-72</c:v>
                </c:pt>
                <c:pt idx="5">
                  <c:v>-61</c:v>
                </c:pt>
                <c:pt idx="6">
                  <c:v>-50</c:v>
                </c:pt>
                <c:pt idx="7">
                  <c:v>0</c:v>
                </c:pt>
                <c:pt idx="8">
                  <c:v>0</c:v>
                </c:pt>
                <c:pt idx="9">
                  <c:v>74</c:v>
                </c:pt>
                <c:pt idx="10">
                  <c:v>-20</c:v>
                </c:pt>
                <c:pt idx="11">
                  <c:v>19</c:v>
                </c:pt>
                <c:pt idx="12">
                  <c:v>-20</c:v>
                </c:pt>
              </c:numCache>
            </c:numRef>
          </c:val>
          <c:smooth val="0"/>
          <c:extLst>
            <c:ext xmlns:c16="http://schemas.microsoft.com/office/drawing/2014/chart" uri="{C3380CC4-5D6E-409C-BE32-E72D297353CC}">
              <c16:uniqueId val="{00000020-CDAB-4793-A1DF-8C5687C3561F}"/>
            </c:ext>
          </c:extLst>
        </c:ser>
        <c:ser>
          <c:idx val="33"/>
          <c:order val="33"/>
          <c:tx>
            <c:strRef>
              <c:f>Balancesheet_Data!$AU$6:$AU$7</c:f>
              <c:strCache>
                <c:ptCount val="1"/>
                <c:pt idx="0">
                  <c:v>500547</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Balancesheet_Data!$AU$8:$AU$21</c:f>
              <c:numCache>
                <c:formatCode>General</c:formatCode>
                <c:ptCount val="13"/>
                <c:pt idx="2">
                  <c:v>3004</c:v>
                </c:pt>
                <c:pt idx="3">
                  <c:v>-5</c:v>
                </c:pt>
                <c:pt idx="4">
                  <c:v>-7660</c:v>
                </c:pt>
                <c:pt idx="5">
                  <c:v>-2104</c:v>
                </c:pt>
                <c:pt idx="6">
                  <c:v>12337</c:v>
                </c:pt>
                <c:pt idx="7">
                  <c:v>1934</c:v>
                </c:pt>
                <c:pt idx="8">
                  <c:v>7180</c:v>
                </c:pt>
                <c:pt idx="9">
                  <c:v>20637</c:v>
                </c:pt>
                <c:pt idx="10">
                  <c:v>-10944</c:v>
                </c:pt>
                <c:pt idx="11">
                  <c:v>10002</c:v>
                </c:pt>
                <c:pt idx="12">
                  <c:v>4842</c:v>
                </c:pt>
              </c:numCache>
            </c:numRef>
          </c:val>
          <c:smooth val="0"/>
          <c:extLst>
            <c:ext xmlns:c16="http://schemas.microsoft.com/office/drawing/2014/chart" uri="{C3380CC4-5D6E-409C-BE32-E72D297353CC}">
              <c16:uniqueId val="{00000021-CDAB-4793-A1DF-8C5687C3561F}"/>
            </c:ext>
          </c:extLst>
        </c:ser>
        <c:ser>
          <c:idx val="34"/>
          <c:order val="34"/>
          <c:tx>
            <c:strRef>
              <c:f>Balancesheet_Data!$AV$6:$AV$7</c:f>
              <c:strCache>
                <c:ptCount val="1"/>
                <c:pt idx="0">
                  <c:v>500550</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Balancesheet_Data!$AV$8:$AV$21</c:f>
              <c:numCache>
                <c:formatCode>General</c:formatCode>
                <c:ptCount val="13"/>
                <c:pt idx="0">
                  <c:v>-184</c:v>
                </c:pt>
                <c:pt idx="1">
                  <c:v>0</c:v>
                </c:pt>
                <c:pt idx="2">
                  <c:v>0</c:v>
                </c:pt>
                <c:pt idx="3">
                  <c:v>0</c:v>
                </c:pt>
                <c:pt idx="4">
                  <c:v>0</c:v>
                </c:pt>
                <c:pt idx="5">
                  <c:v>0</c:v>
                </c:pt>
                <c:pt idx="6">
                  <c:v>0</c:v>
                </c:pt>
                <c:pt idx="7">
                  <c:v>0</c:v>
                </c:pt>
                <c:pt idx="8">
                  <c:v>0</c:v>
                </c:pt>
                <c:pt idx="9">
                  <c:v>206</c:v>
                </c:pt>
                <c:pt idx="10">
                  <c:v>-10</c:v>
                </c:pt>
                <c:pt idx="11">
                  <c:v>-36</c:v>
                </c:pt>
              </c:numCache>
            </c:numRef>
          </c:val>
          <c:smooth val="0"/>
          <c:extLst>
            <c:ext xmlns:c16="http://schemas.microsoft.com/office/drawing/2014/chart" uri="{C3380CC4-5D6E-409C-BE32-E72D297353CC}">
              <c16:uniqueId val="{00000022-CDAB-4793-A1DF-8C5687C3561F}"/>
            </c:ext>
          </c:extLst>
        </c:ser>
        <c:ser>
          <c:idx val="35"/>
          <c:order val="35"/>
          <c:tx>
            <c:strRef>
              <c:f>Balancesheet_Data!$AW$6:$AW$7</c:f>
              <c:strCache>
                <c:ptCount val="1"/>
                <c:pt idx="0">
                  <c:v>500570</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Balancesheet_Data!$AW$8:$AW$21</c:f>
              <c:numCache>
                <c:formatCode>General</c:formatCode>
                <c:ptCount val="13"/>
                <c:pt idx="2">
                  <c:v>6567</c:v>
                </c:pt>
                <c:pt idx="3">
                  <c:v>6926</c:v>
                </c:pt>
                <c:pt idx="4">
                  <c:v>12968</c:v>
                </c:pt>
                <c:pt idx="5">
                  <c:v>-4250</c:v>
                </c:pt>
                <c:pt idx="6">
                  <c:v>9244</c:v>
                </c:pt>
                <c:pt idx="7">
                  <c:v>10346</c:v>
                </c:pt>
                <c:pt idx="8">
                  <c:v>17225</c:v>
                </c:pt>
                <c:pt idx="9">
                  <c:v>18613</c:v>
                </c:pt>
                <c:pt idx="10">
                  <c:v>17343</c:v>
                </c:pt>
                <c:pt idx="11">
                  <c:v>4318</c:v>
                </c:pt>
                <c:pt idx="12">
                  <c:v>-12336</c:v>
                </c:pt>
              </c:numCache>
            </c:numRef>
          </c:val>
          <c:smooth val="0"/>
          <c:extLst>
            <c:ext xmlns:c16="http://schemas.microsoft.com/office/drawing/2014/chart" uri="{C3380CC4-5D6E-409C-BE32-E72D297353CC}">
              <c16:uniqueId val="{00000023-CDAB-4793-A1DF-8C5687C3561F}"/>
            </c:ext>
          </c:extLst>
        </c:ser>
        <c:ser>
          <c:idx val="36"/>
          <c:order val="36"/>
          <c:tx>
            <c:strRef>
              <c:f>Balancesheet_Data!$AX$6:$AX$7</c:f>
              <c:strCache>
                <c:ptCount val="1"/>
                <c:pt idx="0">
                  <c:v>500696</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Balancesheet_Data!$AX$8:$AX$21</c:f>
              <c:numCache>
                <c:formatCode>General</c:formatCode>
                <c:ptCount val="13"/>
                <c:pt idx="2">
                  <c:v>25</c:v>
                </c:pt>
                <c:pt idx="3">
                  <c:v>21</c:v>
                </c:pt>
                <c:pt idx="4">
                  <c:v>-3</c:v>
                </c:pt>
                <c:pt idx="5">
                  <c:v>134</c:v>
                </c:pt>
                <c:pt idx="6">
                  <c:v>100</c:v>
                </c:pt>
                <c:pt idx="7">
                  <c:v>-277</c:v>
                </c:pt>
                <c:pt idx="8">
                  <c:v>99</c:v>
                </c:pt>
                <c:pt idx="9">
                  <c:v>-99</c:v>
                </c:pt>
                <c:pt idx="10">
                  <c:v>1009</c:v>
                </c:pt>
                <c:pt idx="11">
                  <c:v>34</c:v>
                </c:pt>
                <c:pt idx="12">
                  <c:v>176</c:v>
                </c:pt>
              </c:numCache>
            </c:numRef>
          </c:val>
          <c:smooth val="0"/>
          <c:extLst>
            <c:ext xmlns:c16="http://schemas.microsoft.com/office/drawing/2014/chart" uri="{C3380CC4-5D6E-409C-BE32-E72D297353CC}">
              <c16:uniqueId val="{00000024-CDAB-4793-A1DF-8C5687C3561F}"/>
            </c:ext>
          </c:extLst>
        </c:ser>
        <c:ser>
          <c:idx val="37"/>
          <c:order val="37"/>
          <c:tx>
            <c:strRef>
              <c:f>Balancesheet_Data!$AY$6:$AY$7</c:f>
              <c:strCache>
                <c:ptCount val="1"/>
                <c:pt idx="0">
                  <c:v>500790</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Balancesheet_Data!$AY$8:$AY$21</c:f>
              <c:numCache>
                <c:formatCode>General</c:formatCode>
                <c:ptCount val="13"/>
                <c:pt idx="1">
                  <c:v>79</c:v>
                </c:pt>
                <c:pt idx="2">
                  <c:v>139</c:v>
                </c:pt>
                <c:pt idx="3">
                  <c:v>-1169</c:v>
                </c:pt>
                <c:pt idx="4">
                  <c:v>-2</c:v>
                </c:pt>
                <c:pt idx="5">
                  <c:v>15</c:v>
                </c:pt>
                <c:pt idx="6">
                  <c:v>2</c:v>
                </c:pt>
                <c:pt idx="7">
                  <c:v>0</c:v>
                </c:pt>
                <c:pt idx="8">
                  <c:v>154</c:v>
                </c:pt>
                <c:pt idx="9">
                  <c:v>-42</c:v>
                </c:pt>
                <c:pt idx="10">
                  <c:v>119</c:v>
                </c:pt>
                <c:pt idx="11">
                  <c:v>5</c:v>
                </c:pt>
              </c:numCache>
            </c:numRef>
          </c:val>
          <c:smooth val="0"/>
          <c:extLst>
            <c:ext xmlns:c16="http://schemas.microsoft.com/office/drawing/2014/chart" uri="{C3380CC4-5D6E-409C-BE32-E72D297353CC}">
              <c16:uniqueId val="{00000025-CDAB-4793-A1DF-8C5687C3561F}"/>
            </c:ext>
          </c:extLst>
        </c:ser>
        <c:ser>
          <c:idx val="38"/>
          <c:order val="38"/>
          <c:tx>
            <c:strRef>
              <c:f>Balancesheet_Data!$AZ$6:$AZ$7</c:f>
              <c:strCache>
                <c:ptCount val="1"/>
                <c:pt idx="0">
                  <c:v>500800</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Balancesheet_Data!$AZ$8:$AZ$21</c:f>
              <c:numCache>
                <c:formatCode>General</c:formatCode>
                <c:ptCount val="13"/>
                <c:pt idx="2">
                  <c:v>473</c:v>
                </c:pt>
                <c:pt idx="3">
                  <c:v>49</c:v>
                </c:pt>
                <c:pt idx="4">
                  <c:v>-114</c:v>
                </c:pt>
                <c:pt idx="5">
                  <c:v>30</c:v>
                </c:pt>
                <c:pt idx="6">
                  <c:v>-567</c:v>
                </c:pt>
                <c:pt idx="7">
                  <c:v>281</c:v>
                </c:pt>
                <c:pt idx="8">
                  <c:v>73</c:v>
                </c:pt>
                <c:pt idx="9">
                  <c:v>445</c:v>
                </c:pt>
                <c:pt idx="10">
                  <c:v>48</c:v>
                </c:pt>
                <c:pt idx="11">
                  <c:v>-222</c:v>
                </c:pt>
                <c:pt idx="12">
                  <c:v>188</c:v>
                </c:pt>
              </c:numCache>
            </c:numRef>
          </c:val>
          <c:smooth val="0"/>
          <c:extLst>
            <c:ext xmlns:c16="http://schemas.microsoft.com/office/drawing/2014/chart" uri="{C3380CC4-5D6E-409C-BE32-E72D297353CC}">
              <c16:uniqueId val="{00000026-CDAB-4793-A1DF-8C5687C3561F}"/>
            </c:ext>
          </c:extLst>
        </c:ser>
        <c:ser>
          <c:idx val="39"/>
          <c:order val="39"/>
          <c:tx>
            <c:strRef>
              <c:f>Balancesheet_Data!$BA$6:$BA$7</c:f>
              <c:strCache>
                <c:ptCount val="1"/>
                <c:pt idx="0">
                  <c:v>500820</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Balancesheet_Data!$BA$8:$BA$21</c:f>
              <c:numCache>
                <c:formatCode>General</c:formatCode>
                <c:ptCount val="13"/>
                <c:pt idx="2">
                  <c:v>-90</c:v>
                </c:pt>
                <c:pt idx="3">
                  <c:v>-2</c:v>
                </c:pt>
                <c:pt idx="4">
                  <c:v>169</c:v>
                </c:pt>
                <c:pt idx="5">
                  <c:v>-95</c:v>
                </c:pt>
                <c:pt idx="6">
                  <c:v>237</c:v>
                </c:pt>
                <c:pt idx="7">
                  <c:v>-27</c:v>
                </c:pt>
                <c:pt idx="8">
                  <c:v>787</c:v>
                </c:pt>
                <c:pt idx="9">
                  <c:v>-202</c:v>
                </c:pt>
                <c:pt idx="10">
                  <c:v>-25</c:v>
                </c:pt>
                <c:pt idx="11">
                  <c:v>494</c:v>
                </c:pt>
                <c:pt idx="12">
                  <c:v>346</c:v>
                </c:pt>
              </c:numCache>
            </c:numRef>
          </c:val>
          <c:smooth val="0"/>
          <c:extLst>
            <c:ext xmlns:c16="http://schemas.microsoft.com/office/drawing/2014/chart" uri="{C3380CC4-5D6E-409C-BE32-E72D297353CC}">
              <c16:uniqueId val="{00000027-CDAB-4793-A1DF-8C5687C3561F}"/>
            </c:ext>
          </c:extLst>
        </c:ser>
        <c:ser>
          <c:idx val="40"/>
          <c:order val="40"/>
          <c:tx>
            <c:strRef>
              <c:f>Balancesheet_Data!$BB$6:$BB$7</c:f>
              <c:strCache>
                <c:ptCount val="1"/>
                <c:pt idx="0">
                  <c:v>500825</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Balancesheet_Data!$BB$8:$BB$21</c:f>
              <c:numCache>
                <c:formatCode>General</c:formatCode>
                <c:ptCount val="13"/>
                <c:pt idx="2">
                  <c:v>-224</c:v>
                </c:pt>
                <c:pt idx="3">
                  <c:v>-230</c:v>
                </c:pt>
                <c:pt idx="4">
                  <c:v>-5</c:v>
                </c:pt>
                <c:pt idx="5">
                  <c:v>-14</c:v>
                </c:pt>
                <c:pt idx="6">
                  <c:v>-6</c:v>
                </c:pt>
                <c:pt idx="7">
                  <c:v>76</c:v>
                </c:pt>
                <c:pt idx="8">
                  <c:v>-45</c:v>
                </c:pt>
                <c:pt idx="9">
                  <c:v>1382</c:v>
                </c:pt>
                <c:pt idx="10">
                  <c:v>584</c:v>
                </c:pt>
                <c:pt idx="11">
                  <c:v>359</c:v>
                </c:pt>
                <c:pt idx="12">
                  <c:v>516</c:v>
                </c:pt>
              </c:numCache>
            </c:numRef>
          </c:val>
          <c:smooth val="0"/>
          <c:extLst>
            <c:ext xmlns:c16="http://schemas.microsoft.com/office/drawing/2014/chart" uri="{C3380CC4-5D6E-409C-BE32-E72D297353CC}">
              <c16:uniqueId val="{00000028-CDAB-4793-A1DF-8C5687C3561F}"/>
            </c:ext>
          </c:extLst>
        </c:ser>
        <c:ser>
          <c:idx val="41"/>
          <c:order val="41"/>
          <c:tx>
            <c:strRef>
              <c:f>Balancesheet_Data!$BC$6:$BC$7</c:f>
              <c:strCache>
                <c:ptCount val="1"/>
                <c:pt idx="0">
                  <c:v>500850</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Balancesheet_Data!$BC$8:$BC$21</c:f>
              <c:numCache>
                <c:formatCode>General</c:formatCode>
                <c:ptCount val="13"/>
                <c:pt idx="2">
                  <c:v>15</c:v>
                </c:pt>
                <c:pt idx="3">
                  <c:v>434</c:v>
                </c:pt>
                <c:pt idx="4">
                  <c:v>822</c:v>
                </c:pt>
                <c:pt idx="5">
                  <c:v>-548</c:v>
                </c:pt>
                <c:pt idx="6">
                  <c:v>-1143</c:v>
                </c:pt>
                <c:pt idx="7">
                  <c:v>-956</c:v>
                </c:pt>
                <c:pt idx="8">
                  <c:v>-101</c:v>
                </c:pt>
                <c:pt idx="9">
                  <c:v>2175</c:v>
                </c:pt>
                <c:pt idx="10">
                  <c:v>1017</c:v>
                </c:pt>
                <c:pt idx="11">
                  <c:v>-1630</c:v>
                </c:pt>
                <c:pt idx="12">
                  <c:v>-749</c:v>
                </c:pt>
              </c:numCache>
            </c:numRef>
          </c:val>
          <c:smooth val="0"/>
          <c:extLst>
            <c:ext xmlns:c16="http://schemas.microsoft.com/office/drawing/2014/chart" uri="{C3380CC4-5D6E-409C-BE32-E72D297353CC}">
              <c16:uniqueId val="{00000029-CDAB-4793-A1DF-8C5687C3561F}"/>
            </c:ext>
          </c:extLst>
        </c:ser>
        <c:ser>
          <c:idx val="42"/>
          <c:order val="42"/>
          <c:tx>
            <c:strRef>
              <c:f>Balancesheet_Data!$BD$6:$BD$7</c:f>
              <c:strCache>
                <c:ptCount val="1"/>
                <c:pt idx="0">
                  <c:v>500875</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Balancesheet_Data!$BD$8:$BD$21</c:f>
              <c:numCache>
                <c:formatCode>General</c:formatCode>
                <c:ptCount val="13"/>
                <c:pt idx="2">
                  <c:v>-16</c:v>
                </c:pt>
                <c:pt idx="3">
                  <c:v>140</c:v>
                </c:pt>
                <c:pt idx="4">
                  <c:v>27</c:v>
                </c:pt>
                <c:pt idx="5">
                  <c:v>-185</c:v>
                </c:pt>
                <c:pt idx="6">
                  <c:v>-38</c:v>
                </c:pt>
                <c:pt idx="7">
                  <c:v>-10</c:v>
                </c:pt>
                <c:pt idx="8">
                  <c:v>-23</c:v>
                </c:pt>
                <c:pt idx="9">
                  <c:v>264</c:v>
                </c:pt>
                <c:pt idx="10">
                  <c:v>-6</c:v>
                </c:pt>
                <c:pt idx="11">
                  <c:v>-22</c:v>
                </c:pt>
                <c:pt idx="12">
                  <c:v>57</c:v>
                </c:pt>
              </c:numCache>
            </c:numRef>
          </c:val>
          <c:smooth val="0"/>
          <c:extLst>
            <c:ext xmlns:c16="http://schemas.microsoft.com/office/drawing/2014/chart" uri="{C3380CC4-5D6E-409C-BE32-E72D297353CC}">
              <c16:uniqueId val="{0000002A-CDAB-4793-A1DF-8C5687C3561F}"/>
            </c:ext>
          </c:extLst>
        </c:ser>
        <c:ser>
          <c:idx val="43"/>
          <c:order val="43"/>
          <c:tx>
            <c:strRef>
              <c:f>Balancesheet_Data!$BE$6:$BE$7</c:f>
              <c:strCache>
                <c:ptCount val="1"/>
                <c:pt idx="0">
                  <c:v>503806</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Balancesheet_Data!$BE$8:$BE$21</c:f>
              <c:numCache>
                <c:formatCode>General</c:formatCode>
                <c:ptCount val="13"/>
                <c:pt idx="2">
                  <c:v>476</c:v>
                </c:pt>
                <c:pt idx="3">
                  <c:v>471</c:v>
                </c:pt>
                <c:pt idx="4">
                  <c:v>260</c:v>
                </c:pt>
                <c:pt idx="5">
                  <c:v>80</c:v>
                </c:pt>
                <c:pt idx="6">
                  <c:v>-119</c:v>
                </c:pt>
                <c:pt idx="7">
                  <c:v>746</c:v>
                </c:pt>
                <c:pt idx="8">
                  <c:v>588</c:v>
                </c:pt>
                <c:pt idx="9">
                  <c:v>405</c:v>
                </c:pt>
                <c:pt idx="10">
                  <c:v>-666</c:v>
                </c:pt>
                <c:pt idx="11">
                  <c:v>186</c:v>
                </c:pt>
                <c:pt idx="12">
                  <c:v>823</c:v>
                </c:pt>
              </c:numCache>
            </c:numRef>
          </c:val>
          <c:smooth val="0"/>
          <c:extLst>
            <c:ext xmlns:c16="http://schemas.microsoft.com/office/drawing/2014/chart" uri="{C3380CC4-5D6E-409C-BE32-E72D297353CC}">
              <c16:uniqueId val="{0000002B-CDAB-4793-A1DF-8C5687C3561F}"/>
            </c:ext>
          </c:extLst>
        </c:ser>
        <c:ser>
          <c:idx val="44"/>
          <c:order val="44"/>
          <c:tx>
            <c:strRef>
              <c:f>Balancesheet_Data!$BF$6:$BF$7</c:f>
              <c:strCache>
                <c:ptCount val="1"/>
                <c:pt idx="0">
                  <c:v>505200</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Balancesheet_Data!$BF$8:$BF$21</c:f>
              <c:numCache>
                <c:formatCode>General</c:formatCode>
                <c:ptCount val="13"/>
                <c:pt idx="1">
                  <c:v>-20</c:v>
                </c:pt>
                <c:pt idx="2">
                  <c:v>61</c:v>
                </c:pt>
                <c:pt idx="3">
                  <c:v>-26</c:v>
                </c:pt>
                <c:pt idx="5">
                  <c:v>-35</c:v>
                </c:pt>
                <c:pt idx="6">
                  <c:v>89</c:v>
                </c:pt>
                <c:pt idx="7">
                  <c:v>39</c:v>
                </c:pt>
                <c:pt idx="8">
                  <c:v>36</c:v>
                </c:pt>
                <c:pt idx="9">
                  <c:v>62</c:v>
                </c:pt>
                <c:pt idx="10">
                  <c:v>-30</c:v>
                </c:pt>
                <c:pt idx="11">
                  <c:v>-111</c:v>
                </c:pt>
                <c:pt idx="12">
                  <c:v>180</c:v>
                </c:pt>
              </c:numCache>
            </c:numRef>
          </c:val>
          <c:smooth val="0"/>
          <c:extLst>
            <c:ext xmlns:c16="http://schemas.microsoft.com/office/drawing/2014/chart" uri="{C3380CC4-5D6E-409C-BE32-E72D297353CC}">
              <c16:uniqueId val="{0000002C-CDAB-4793-A1DF-8C5687C3561F}"/>
            </c:ext>
          </c:extLst>
        </c:ser>
        <c:ser>
          <c:idx val="45"/>
          <c:order val="45"/>
          <c:tx>
            <c:strRef>
              <c:f>Balancesheet_Data!$BG$6:$BG$7</c:f>
              <c:strCache>
                <c:ptCount val="1"/>
                <c:pt idx="0">
                  <c:v>507685</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Balancesheet_Data!$BG$8:$BG$21</c:f>
              <c:numCache>
                <c:formatCode>General</c:formatCode>
                <c:ptCount val="13"/>
                <c:pt idx="2">
                  <c:v>485</c:v>
                </c:pt>
                <c:pt idx="3">
                  <c:v>-1222</c:v>
                </c:pt>
                <c:pt idx="4">
                  <c:v>2732</c:v>
                </c:pt>
                <c:pt idx="5">
                  <c:v>4631</c:v>
                </c:pt>
                <c:pt idx="6">
                  <c:v>1719</c:v>
                </c:pt>
                <c:pt idx="7">
                  <c:v>-340</c:v>
                </c:pt>
                <c:pt idx="8">
                  <c:v>-3954</c:v>
                </c:pt>
                <c:pt idx="9">
                  <c:v>-223</c:v>
                </c:pt>
                <c:pt idx="10">
                  <c:v>727</c:v>
                </c:pt>
                <c:pt idx="11">
                  <c:v>7142</c:v>
                </c:pt>
                <c:pt idx="12">
                  <c:v>-126</c:v>
                </c:pt>
              </c:numCache>
            </c:numRef>
          </c:val>
          <c:smooth val="0"/>
          <c:extLst>
            <c:ext xmlns:c16="http://schemas.microsoft.com/office/drawing/2014/chart" uri="{C3380CC4-5D6E-409C-BE32-E72D297353CC}">
              <c16:uniqueId val="{0000002D-CDAB-4793-A1DF-8C5687C3561F}"/>
            </c:ext>
          </c:extLst>
        </c:ser>
        <c:ser>
          <c:idx val="46"/>
          <c:order val="46"/>
          <c:tx>
            <c:strRef>
              <c:f>Balancesheet_Data!$BH$6:$BH$7</c:f>
              <c:strCache>
                <c:ptCount val="1"/>
                <c:pt idx="0">
                  <c:v>508869</c:v>
                </c:pt>
              </c:strCache>
            </c:strRef>
          </c:tx>
          <c:spPr>
            <a:ln w="28575"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Balancesheet_Data!$BH$8:$BH$21</c:f>
              <c:numCache>
                <c:formatCode>General</c:formatCode>
                <c:ptCount val="13"/>
                <c:pt idx="1">
                  <c:v>-140</c:v>
                </c:pt>
                <c:pt idx="2">
                  <c:v>396</c:v>
                </c:pt>
                <c:pt idx="3">
                  <c:v>131</c:v>
                </c:pt>
                <c:pt idx="4">
                  <c:v>648</c:v>
                </c:pt>
                <c:pt idx="5">
                  <c:v>842</c:v>
                </c:pt>
                <c:pt idx="6">
                  <c:v>291</c:v>
                </c:pt>
                <c:pt idx="7">
                  <c:v>302</c:v>
                </c:pt>
                <c:pt idx="8">
                  <c:v>246</c:v>
                </c:pt>
                <c:pt idx="9">
                  <c:v>-77</c:v>
                </c:pt>
                <c:pt idx="10">
                  <c:v>564</c:v>
                </c:pt>
                <c:pt idx="11">
                  <c:v>-162</c:v>
                </c:pt>
              </c:numCache>
            </c:numRef>
          </c:val>
          <c:smooth val="0"/>
          <c:extLst>
            <c:ext xmlns:c16="http://schemas.microsoft.com/office/drawing/2014/chart" uri="{C3380CC4-5D6E-409C-BE32-E72D297353CC}">
              <c16:uniqueId val="{0000002E-CDAB-4793-A1DF-8C5687C3561F}"/>
            </c:ext>
          </c:extLst>
        </c:ser>
        <c:ser>
          <c:idx val="47"/>
          <c:order val="47"/>
          <c:tx>
            <c:strRef>
              <c:f>Balancesheet_Data!$BI$6:$BI$7</c:f>
              <c:strCache>
                <c:ptCount val="1"/>
                <c:pt idx="0">
                  <c:v>509480</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Balancesheet_Data!$BI$8:$BI$21</c:f>
              <c:numCache>
                <c:formatCode>General</c:formatCode>
                <c:ptCount val="13"/>
                <c:pt idx="2">
                  <c:v>132</c:v>
                </c:pt>
                <c:pt idx="3">
                  <c:v>74</c:v>
                </c:pt>
                <c:pt idx="4">
                  <c:v>-14</c:v>
                </c:pt>
                <c:pt idx="5">
                  <c:v>-256</c:v>
                </c:pt>
                <c:pt idx="6">
                  <c:v>52</c:v>
                </c:pt>
                <c:pt idx="7">
                  <c:v>16</c:v>
                </c:pt>
                <c:pt idx="8">
                  <c:v>331</c:v>
                </c:pt>
                <c:pt idx="9">
                  <c:v>14</c:v>
                </c:pt>
                <c:pt idx="10">
                  <c:v>-133</c:v>
                </c:pt>
                <c:pt idx="11">
                  <c:v>380</c:v>
                </c:pt>
                <c:pt idx="12">
                  <c:v>175</c:v>
                </c:pt>
              </c:numCache>
            </c:numRef>
          </c:val>
          <c:smooth val="0"/>
          <c:extLst>
            <c:ext xmlns:c16="http://schemas.microsoft.com/office/drawing/2014/chart" uri="{C3380CC4-5D6E-409C-BE32-E72D297353CC}">
              <c16:uniqueId val="{0000002F-CDAB-4793-A1DF-8C5687C3561F}"/>
            </c:ext>
          </c:extLst>
        </c:ser>
        <c:ser>
          <c:idx val="48"/>
          <c:order val="48"/>
          <c:tx>
            <c:strRef>
              <c:f>Balancesheet_Data!$BJ$6:$BJ$7</c:f>
              <c:strCache>
                <c:ptCount val="1"/>
                <c:pt idx="0">
                  <c:v>511243</c:v>
                </c:pt>
              </c:strCache>
            </c:strRef>
          </c:tx>
          <c:spPr>
            <a:ln w="28575"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Balancesheet_Data!$BJ$8:$BJ$21</c:f>
              <c:numCache>
                <c:formatCode>General</c:formatCode>
                <c:ptCount val="13"/>
                <c:pt idx="2">
                  <c:v>3825</c:v>
                </c:pt>
                <c:pt idx="3">
                  <c:v>2806</c:v>
                </c:pt>
                <c:pt idx="4">
                  <c:v>1375</c:v>
                </c:pt>
                <c:pt idx="5">
                  <c:v>3096</c:v>
                </c:pt>
                <c:pt idx="6">
                  <c:v>1525</c:v>
                </c:pt>
                <c:pt idx="7">
                  <c:v>14259</c:v>
                </c:pt>
                <c:pt idx="8">
                  <c:v>12237</c:v>
                </c:pt>
                <c:pt idx="9">
                  <c:v>4438</c:v>
                </c:pt>
                <c:pt idx="10">
                  <c:v>8725</c:v>
                </c:pt>
                <c:pt idx="11">
                  <c:v>5444</c:v>
                </c:pt>
                <c:pt idx="12">
                  <c:v>28184</c:v>
                </c:pt>
              </c:numCache>
            </c:numRef>
          </c:val>
          <c:smooth val="0"/>
          <c:extLst>
            <c:ext xmlns:c16="http://schemas.microsoft.com/office/drawing/2014/chart" uri="{C3380CC4-5D6E-409C-BE32-E72D297353CC}">
              <c16:uniqueId val="{00000030-CDAB-4793-A1DF-8C5687C3561F}"/>
            </c:ext>
          </c:extLst>
        </c:ser>
        <c:ser>
          <c:idx val="49"/>
          <c:order val="49"/>
          <c:tx>
            <c:strRef>
              <c:f>Balancesheet_Data!$BK$6:$BK$7</c:f>
              <c:strCache>
                <c:ptCount val="1"/>
                <c:pt idx="0">
                  <c:v>512070</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Balancesheet_Data!$BK$8:$BK$21</c:f>
              <c:numCache>
                <c:formatCode>General</c:formatCode>
                <c:ptCount val="13"/>
                <c:pt idx="2">
                  <c:v>814</c:v>
                </c:pt>
                <c:pt idx="3">
                  <c:v>-854</c:v>
                </c:pt>
                <c:pt idx="4">
                  <c:v>-68</c:v>
                </c:pt>
                <c:pt idx="5">
                  <c:v>1977</c:v>
                </c:pt>
                <c:pt idx="6">
                  <c:v>1103</c:v>
                </c:pt>
                <c:pt idx="7">
                  <c:v>277</c:v>
                </c:pt>
                <c:pt idx="8">
                  <c:v>22501</c:v>
                </c:pt>
                <c:pt idx="9">
                  <c:v>249</c:v>
                </c:pt>
                <c:pt idx="10">
                  <c:v>-4869</c:v>
                </c:pt>
                <c:pt idx="11">
                  <c:v>2227</c:v>
                </c:pt>
                <c:pt idx="12">
                  <c:v>-2807</c:v>
                </c:pt>
              </c:numCache>
            </c:numRef>
          </c:val>
          <c:smooth val="0"/>
          <c:extLst>
            <c:ext xmlns:c16="http://schemas.microsoft.com/office/drawing/2014/chart" uri="{C3380CC4-5D6E-409C-BE32-E72D297353CC}">
              <c16:uniqueId val="{00000031-CDAB-4793-A1DF-8C5687C3561F}"/>
            </c:ext>
          </c:extLst>
        </c:ser>
        <c:ser>
          <c:idx val="50"/>
          <c:order val="50"/>
          <c:tx>
            <c:strRef>
              <c:f>Balancesheet_Data!$BL$6:$BL$7</c:f>
              <c:strCache>
                <c:ptCount val="1"/>
                <c:pt idx="0">
                  <c:v>512599</c:v>
                </c:pt>
              </c:strCache>
            </c:strRef>
          </c:tx>
          <c:spPr>
            <a:ln w="28575"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Balancesheet_Data!$BL$8:$BL$21</c:f>
              <c:numCache>
                <c:formatCode>General</c:formatCode>
                <c:ptCount val="13"/>
                <c:pt idx="2">
                  <c:v>-147</c:v>
                </c:pt>
                <c:pt idx="3">
                  <c:v>2648</c:v>
                </c:pt>
                <c:pt idx="4">
                  <c:v>11591</c:v>
                </c:pt>
                <c:pt idx="5">
                  <c:v>-64402</c:v>
                </c:pt>
                <c:pt idx="6">
                  <c:v>1677</c:v>
                </c:pt>
                <c:pt idx="7">
                  <c:v>-3209</c:v>
                </c:pt>
                <c:pt idx="8">
                  <c:v>-6394</c:v>
                </c:pt>
                <c:pt idx="9">
                  <c:v>1176</c:v>
                </c:pt>
                <c:pt idx="10">
                  <c:v>3808</c:v>
                </c:pt>
                <c:pt idx="11">
                  <c:v>25377</c:v>
                </c:pt>
                <c:pt idx="12">
                  <c:v>11596</c:v>
                </c:pt>
              </c:numCache>
            </c:numRef>
          </c:val>
          <c:smooth val="0"/>
          <c:extLst>
            <c:ext xmlns:c16="http://schemas.microsoft.com/office/drawing/2014/chart" uri="{C3380CC4-5D6E-409C-BE32-E72D297353CC}">
              <c16:uniqueId val="{00000032-CDAB-4793-A1DF-8C5687C3561F}"/>
            </c:ext>
          </c:extLst>
        </c:ser>
        <c:ser>
          <c:idx val="51"/>
          <c:order val="51"/>
          <c:tx>
            <c:strRef>
              <c:f>Balancesheet_Data!$BM$6:$BM$7</c:f>
              <c:strCache>
                <c:ptCount val="1"/>
                <c:pt idx="0">
                  <c:v>517334</c:v>
                </c:pt>
              </c:strCache>
            </c:strRef>
          </c:tx>
          <c:spPr>
            <a:ln w="28575"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Balancesheet_Data!$BM$8:$BM$21</c:f>
              <c:numCache>
                <c:formatCode>General</c:formatCode>
                <c:ptCount val="13"/>
                <c:pt idx="2">
                  <c:v>-13</c:v>
                </c:pt>
                <c:pt idx="3">
                  <c:v>-169</c:v>
                </c:pt>
                <c:pt idx="4">
                  <c:v>-224</c:v>
                </c:pt>
                <c:pt idx="5">
                  <c:v>-49</c:v>
                </c:pt>
                <c:pt idx="6">
                  <c:v>809</c:v>
                </c:pt>
                <c:pt idx="7">
                  <c:v>-139</c:v>
                </c:pt>
                <c:pt idx="8">
                  <c:v>-19</c:v>
                </c:pt>
                <c:pt idx="9">
                  <c:v>376</c:v>
                </c:pt>
                <c:pt idx="10">
                  <c:v>3340</c:v>
                </c:pt>
                <c:pt idx="11">
                  <c:v>564</c:v>
                </c:pt>
                <c:pt idx="12">
                  <c:v>351</c:v>
                </c:pt>
              </c:numCache>
            </c:numRef>
          </c:val>
          <c:smooth val="0"/>
          <c:extLst>
            <c:ext xmlns:c16="http://schemas.microsoft.com/office/drawing/2014/chart" uri="{C3380CC4-5D6E-409C-BE32-E72D297353CC}">
              <c16:uniqueId val="{00000033-CDAB-4793-A1DF-8C5687C3561F}"/>
            </c:ext>
          </c:extLst>
        </c:ser>
        <c:ser>
          <c:idx val="52"/>
          <c:order val="52"/>
          <c:tx>
            <c:strRef>
              <c:f>Balancesheet_Data!$BN$6:$BN$7</c:f>
              <c:strCache>
                <c:ptCount val="1"/>
                <c:pt idx="0">
                  <c:v>517354</c:v>
                </c:pt>
              </c:strCache>
            </c:strRef>
          </c:tx>
          <c:spPr>
            <a:ln w="28575"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Balancesheet_Data!$BN$8:$BN$21</c:f>
              <c:numCache>
                <c:formatCode>General</c:formatCode>
                <c:ptCount val="13"/>
                <c:pt idx="2">
                  <c:v>-45</c:v>
                </c:pt>
                <c:pt idx="3">
                  <c:v>72</c:v>
                </c:pt>
                <c:pt idx="4">
                  <c:v>-630</c:v>
                </c:pt>
                <c:pt idx="5">
                  <c:v>-290</c:v>
                </c:pt>
                <c:pt idx="6">
                  <c:v>74</c:v>
                </c:pt>
                <c:pt idx="7">
                  <c:v>-93</c:v>
                </c:pt>
                <c:pt idx="8">
                  <c:v>-21</c:v>
                </c:pt>
                <c:pt idx="9">
                  <c:v>-22</c:v>
                </c:pt>
                <c:pt idx="10">
                  <c:v>449</c:v>
                </c:pt>
                <c:pt idx="11">
                  <c:v>-83</c:v>
                </c:pt>
                <c:pt idx="12">
                  <c:v>-215</c:v>
                </c:pt>
              </c:numCache>
            </c:numRef>
          </c:val>
          <c:smooth val="0"/>
          <c:extLst>
            <c:ext xmlns:c16="http://schemas.microsoft.com/office/drawing/2014/chart" uri="{C3380CC4-5D6E-409C-BE32-E72D297353CC}">
              <c16:uniqueId val="{00000034-CDAB-4793-A1DF-8C5687C3561F}"/>
            </c:ext>
          </c:extLst>
        </c:ser>
        <c:ser>
          <c:idx val="53"/>
          <c:order val="53"/>
          <c:tx>
            <c:strRef>
              <c:f>Balancesheet_Data!$BO$6:$BO$7</c:f>
              <c:strCache>
                <c:ptCount val="1"/>
                <c:pt idx="0">
                  <c:v>524715</c:v>
                </c:pt>
              </c:strCache>
            </c:strRef>
          </c:tx>
          <c:spPr>
            <a:ln w="28575"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Balancesheet_Data!$BO$8:$BO$21</c:f>
              <c:numCache>
                <c:formatCode>General</c:formatCode>
                <c:ptCount val="13"/>
                <c:pt idx="2">
                  <c:v>-61</c:v>
                </c:pt>
                <c:pt idx="3">
                  <c:v>2301</c:v>
                </c:pt>
                <c:pt idx="4">
                  <c:v>6435</c:v>
                </c:pt>
                <c:pt idx="5">
                  <c:v>-499</c:v>
                </c:pt>
                <c:pt idx="6">
                  <c:v>1335</c:v>
                </c:pt>
                <c:pt idx="7">
                  <c:v>553</c:v>
                </c:pt>
                <c:pt idx="8">
                  <c:v>129</c:v>
                </c:pt>
                <c:pt idx="9">
                  <c:v>-2199</c:v>
                </c:pt>
                <c:pt idx="10">
                  <c:v>-4446</c:v>
                </c:pt>
                <c:pt idx="11">
                  <c:v>-2579</c:v>
                </c:pt>
                <c:pt idx="12">
                  <c:v>5596</c:v>
                </c:pt>
              </c:numCache>
            </c:numRef>
          </c:val>
          <c:smooth val="0"/>
          <c:extLst>
            <c:ext xmlns:c16="http://schemas.microsoft.com/office/drawing/2014/chart" uri="{C3380CC4-5D6E-409C-BE32-E72D297353CC}">
              <c16:uniqueId val="{00000035-CDAB-4793-A1DF-8C5687C3561F}"/>
            </c:ext>
          </c:extLst>
        </c:ser>
        <c:ser>
          <c:idx val="54"/>
          <c:order val="54"/>
          <c:tx>
            <c:strRef>
              <c:f>Balancesheet_Data!$BP$6:$BP$7</c:f>
              <c:strCache>
                <c:ptCount val="1"/>
                <c:pt idx="0">
                  <c:v>530965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Balancesheet_Data!$BP$8:$BP$21</c:f>
              <c:numCache>
                <c:formatCode>General</c:formatCode>
                <c:ptCount val="13"/>
                <c:pt idx="2">
                  <c:v>9656</c:v>
                </c:pt>
                <c:pt idx="3">
                  <c:v>5245</c:v>
                </c:pt>
                <c:pt idx="4">
                  <c:v>-30023</c:v>
                </c:pt>
                <c:pt idx="5">
                  <c:v>-6341</c:v>
                </c:pt>
                <c:pt idx="6">
                  <c:v>4719</c:v>
                </c:pt>
                <c:pt idx="7">
                  <c:v>2379</c:v>
                </c:pt>
                <c:pt idx="8">
                  <c:v>31115</c:v>
                </c:pt>
                <c:pt idx="9">
                  <c:v>33025</c:v>
                </c:pt>
                <c:pt idx="10">
                  <c:v>-13141</c:v>
                </c:pt>
                <c:pt idx="11">
                  <c:v>15371</c:v>
                </c:pt>
                <c:pt idx="12">
                  <c:v>16957</c:v>
                </c:pt>
              </c:numCache>
            </c:numRef>
          </c:val>
          <c:smooth val="0"/>
          <c:extLst>
            <c:ext xmlns:c16="http://schemas.microsoft.com/office/drawing/2014/chart" uri="{C3380CC4-5D6E-409C-BE32-E72D297353CC}">
              <c16:uniqueId val="{00000036-CDAB-4793-A1DF-8C5687C3561F}"/>
            </c:ext>
          </c:extLst>
        </c:ser>
        <c:ser>
          <c:idx val="55"/>
          <c:order val="55"/>
          <c:tx>
            <c:strRef>
              <c:f>Balancesheet_Data!$BQ$6:$BQ$7</c:f>
              <c:strCache>
                <c:ptCount val="1"/>
                <c:pt idx="0">
                  <c:v>531642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Balancesheet_Data!$BQ$8:$BQ$21</c:f>
              <c:numCache>
                <c:formatCode>General</c:formatCode>
                <c:ptCount val="13"/>
                <c:pt idx="2">
                  <c:v>87</c:v>
                </c:pt>
                <c:pt idx="3">
                  <c:v>-192</c:v>
                </c:pt>
                <c:pt idx="4">
                  <c:v>-252</c:v>
                </c:pt>
                <c:pt idx="5">
                  <c:v>-97</c:v>
                </c:pt>
                <c:pt idx="6">
                  <c:v>-92</c:v>
                </c:pt>
                <c:pt idx="7">
                  <c:v>73</c:v>
                </c:pt>
                <c:pt idx="8">
                  <c:v>40</c:v>
                </c:pt>
                <c:pt idx="9">
                  <c:v>-14</c:v>
                </c:pt>
                <c:pt idx="10">
                  <c:v>173</c:v>
                </c:pt>
                <c:pt idx="11">
                  <c:v>-32</c:v>
                </c:pt>
                <c:pt idx="12">
                  <c:v>129</c:v>
                </c:pt>
              </c:numCache>
            </c:numRef>
          </c:val>
          <c:smooth val="0"/>
          <c:extLst>
            <c:ext xmlns:c16="http://schemas.microsoft.com/office/drawing/2014/chart" uri="{C3380CC4-5D6E-409C-BE32-E72D297353CC}">
              <c16:uniqueId val="{00000037-CDAB-4793-A1DF-8C5687C3561F}"/>
            </c:ext>
          </c:extLst>
        </c:ser>
        <c:ser>
          <c:idx val="56"/>
          <c:order val="56"/>
          <c:tx>
            <c:strRef>
              <c:f>Balancesheet_Data!$BR$6:$BR$7</c:f>
              <c:strCache>
                <c:ptCount val="1"/>
                <c:pt idx="0">
                  <c:v>532134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Balancesheet_Data!$BR$8:$BR$21</c:f>
              <c:numCache>
                <c:formatCode>General</c:formatCode>
                <c:ptCount val="13"/>
                <c:pt idx="2">
                  <c:v>92978</c:v>
                </c:pt>
                <c:pt idx="3">
                  <c:v>107781</c:v>
                </c:pt>
                <c:pt idx="4">
                  <c:v>48510</c:v>
                </c:pt>
                <c:pt idx="5">
                  <c:v>-44947</c:v>
                </c:pt>
                <c:pt idx="6">
                  <c:v>27963</c:v>
                </c:pt>
                <c:pt idx="7">
                  <c:v>23812</c:v>
                </c:pt>
                <c:pt idx="8">
                  <c:v>62145</c:v>
                </c:pt>
                <c:pt idx="9">
                  <c:v>334525</c:v>
                </c:pt>
                <c:pt idx="10">
                  <c:v>-1808</c:v>
                </c:pt>
                <c:pt idx="11">
                  <c:v>118158</c:v>
                </c:pt>
              </c:numCache>
            </c:numRef>
          </c:val>
          <c:smooth val="0"/>
          <c:extLst>
            <c:ext xmlns:c16="http://schemas.microsoft.com/office/drawing/2014/chart" uri="{C3380CC4-5D6E-409C-BE32-E72D297353CC}">
              <c16:uniqueId val="{00000038-CDAB-4793-A1DF-8C5687C3561F}"/>
            </c:ext>
          </c:extLst>
        </c:ser>
        <c:ser>
          <c:idx val="57"/>
          <c:order val="57"/>
          <c:tx>
            <c:strRef>
              <c:f>Balancesheet_Data!$BS$6:$BS$7</c:f>
              <c:strCache>
                <c:ptCount val="1"/>
                <c:pt idx="0">
                  <c:v>532155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Balancesheet_Data!$BS$8:$BS$21</c:f>
              <c:numCache>
                <c:formatCode>General</c:formatCode>
                <c:ptCount val="13"/>
                <c:pt idx="2">
                  <c:v>4966</c:v>
                </c:pt>
                <c:pt idx="3">
                  <c:v>2065</c:v>
                </c:pt>
                <c:pt idx="4">
                  <c:v>-246</c:v>
                </c:pt>
                <c:pt idx="5">
                  <c:v>-9239</c:v>
                </c:pt>
                <c:pt idx="6">
                  <c:v>-2499</c:v>
                </c:pt>
                <c:pt idx="7">
                  <c:v>-2677</c:v>
                </c:pt>
                <c:pt idx="8">
                  <c:v>-1652</c:v>
                </c:pt>
                <c:pt idx="9">
                  <c:v>4688</c:v>
                </c:pt>
                <c:pt idx="10">
                  <c:v>961</c:v>
                </c:pt>
                <c:pt idx="11">
                  <c:v>1343</c:v>
                </c:pt>
                <c:pt idx="12">
                  <c:v>8600</c:v>
                </c:pt>
              </c:numCache>
            </c:numRef>
          </c:val>
          <c:smooth val="0"/>
          <c:extLst>
            <c:ext xmlns:c16="http://schemas.microsoft.com/office/drawing/2014/chart" uri="{C3380CC4-5D6E-409C-BE32-E72D297353CC}">
              <c16:uniqueId val="{00000039-CDAB-4793-A1DF-8C5687C3561F}"/>
            </c:ext>
          </c:extLst>
        </c:ser>
        <c:ser>
          <c:idx val="58"/>
          <c:order val="58"/>
          <c:tx>
            <c:strRef>
              <c:f>Balancesheet_Data!$BT$6:$BT$7</c:f>
              <c:strCache>
                <c:ptCount val="1"/>
                <c:pt idx="0">
                  <c:v>532174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Balancesheet_Data!$BT$8:$BT$21</c:f>
              <c:numCache>
                <c:formatCode>General</c:formatCode>
                <c:ptCount val="13"/>
                <c:pt idx="2">
                  <c:v>44412</c:v>
                </c:pt>
                <c:pt idx="3">
                  <c:v>55396</c:v>
                </c:pt>
                <c:pt idx="4">
                  <c:v>54152</c:v>
                </c:pt>
                <c:pt idx="5">
                  <c:v>74248</c:v>
                </c:pt>
                <c:pt idx="6">
                  <c:v>29419</c:v>
                </c:pt>
                <c:pt idx="7">
                  <c:v>114324</c:v>
                </c:pt>
                <c:pt idx="8">
                  <c:v>76443</c:v>
                </c:pt>
                <c:pt idx="9">
                  <c:v>122995</c:v>
                </c:pt>
                <c:pt idx="10">
                  <c:v>89204</c:v>
                </c:pt>
                <c:pt idx="11">
                  <c:v>149128</c:v>
                </c:pt>
              </c:numCache>
            </c:numRef>
          </c:val>
          <c:smooth val="0"/>
          <c:extLst>
            <c:ext xmlns:c16="http://schemas.microsoft.com/office/drawing/2014/chart" uri="{C3380CC4-5D6E-409C-BE32-E72D297353CC}">
              <c16:uniqueId val="{0000003A-CDAB-4793-A1DF-8C5687C3561F}"/>
            </c:ext>
          </c:extLst>
        </c:ser>
        <c:ser>
          <c:idx val="59"/>
          <c:order val="59"/>
          <c:tx>
            <c:strRef>
              <c:f>Balancesheet_Data!$BU$6:$BU$7</c:f>
              <c:strCache>
                <c:ptCount val="1"/>
                <c:pt idx="0">
                  <c:v>532187</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Balancesheet_Data!$BU$8:$BU$21</c:f>
              <c:numCache>
                <c:formatCode>General</c:formatCode>
                <c:ptCount val="13"/>
                <c:pt idx="2">
                  <c:v>12532</c:v>
                </c:pt>
                <c:pt idx="3">
                  <c:v>11688</c:v>
                </c:pt>
                <c:pt idx="4">
                  <c:v>19488</c:v>
                </c:pt>
                <c:pt idx="5">
                  <c:v>23244</c:v>
                </c:pt>
                <c:pt idx="6">
                  <c:v>31030</c:v>
                </c:pt>
                <c:pt idx="7">
                  <c:v>40902</c:v>
                </c:pt>
                <c:pt idx="8">
                  <c:v>52261</c:v>
                </c:pt>
                <c:pt idx="9">
                  <c:v>20604</c:v>
                </c:pt>
                <c:pt idx="10">
                  <c:v>44735</c:v>
                </c:pt>
                <c:pt idx="11">
                  <c:v>33477</c:v>
                </c:pt>
              </c:numCache>
            </c:numRef>
          </c:val>
          <c:smooth val="0"/>
          <c:extLst>
            <c:ext xmlns:c16="http://schemas.microsoft.com/office/drawing/2014/chart" uri="{C3380CC4-5D6E-409C-BE32-E72D297353CC}">
              <c16:uniqueId val="{0000003B-CDAB-4793-A1DF-8C5687C3561F}"/>
            </c:ext>
          </c:extLst>
        </c:ser>
        <c:ser>
          <c:idx val="60"/>
          <c:order val="60"/>
          <c:tx>
            <c:strRef>
              <c:f>Balancesheet_Data!$BV$6:$BV$7</c:f>
              <c:strCache>
                <c:ptCount val="1"/>
                <c:pt idx="0">
                  <c:v>532215</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Balancesheet_Data!$BV$8:$BV$21</c:f>
              <c:numCache>
                <c:formatCode>General</c:formatCode>
                <c:ptCount val="13"/>
                <c:pt idx="2">
                  <c:v>42195</c:v>
                </c:pt>
                <c:pt idx="3">
                  <c:v>37026</c:v>
                </c:pt>
                <c:pt idx="4">
                  <c:v>73358</c:v>
                </c:pt>
                <c:pt idx="5">
                  <c:v>65512</c:v>
                </c:pt>
                <c:pt idx="6">
                  <c:v>55287</c:v>
                </c:pt>
                <c:pt idx="7">
                  <c:v>83988</c:v>
                </c:pt>
                <c:pt idx="8">
                  <c:v>100571</c:v>
                </c:pt>
                <c:pt idx="9">
                  <c:v>85341</c:v>
                </c:pt>
                <c:pt idx="10">
                  <c:v>53214</c:v>
                </c:pt>
                <c:pt idx="11">
                  <c:v>170141</c:v>
                </c:pt>
              </c:numCache>
            </c:numRef>
          </c:val>
          <c:smooth val="0"/>
          <c:extLst>
            <c:ext xmlns:c16="http://schemas.microsoft.com/office/drawing/2014/chart" uri="{C3380CC4-5D6E-409C-BE32-E72D297353CC}">
              <c16:uniqueId val="{0000003C-CDAB-4793-A1DF-8C5687C3561F}"/>
            </c:ext>
          </c:extLst>
        </c:ser>
        <c:ser>
          <c:idx val="61"/>
          <c:order val="61"/>
          <c:tx>
            <c:strRef>
              <c:f>Balancesheet_Data!$BW$6:$BW$7</c:f>
              <c:strCache>
                <c:ptCount val="1"/>
                <c:pt idx="0">
                  <c:v>532281</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Balancesheet_Data!$BW$8:$BW$21</c:f>
              <c:numCache>
                <c:formatCode>General</c:formatCode>
                <c:ptCount val="13"/>
                <c:pt idx="2">
                  <c:v>-1135</c:v>
                </c:pt>
                <c:pt idx="3">
                  <c:v>-26</c:v>
                </c:pt>
                <c:pt idx="4">
                  <c:v>-370</c:v>
                </c:pt>
                <c:pt idx="5">
                  <c:v>442</c:v>
                </c:pt>
                <c:pt idx="6">
                  <c:v>-508</c:v>
                </c:pt>
                <c:pt idx="7">
                  <c:v>-25</c:v>
                </c:pt>
                <c:pt idx="8">
                  <c:v>3638</c:v>
                </c:pt>
                <c:pt idx="9">
                  <c:v>3791</c:v>
                </c:pt>
                <c:pt idx="10">
                  <c:v>-1122</c:v>
                </c:pt>
                <c:pt idx="11">
                  <c:v>-521</c:v>
                </c:pt>
                <c:pt idx="12">
                  <c:v>-1557</c:v>
                </c:pt>
              </c:numCache>
            </c:numRef>
          </c:val>
          <c:smooth val="0"/>
          <c:extLst>
            <c:ext xmlns:c16="http://schemas.microsoft.com/office/drawing/2014/chart" uri="{C3380CC4-5D6E-409C-BE32-E72D297353CC}">
              <c16:uniqueId val="{0000003D-CDAB-4793-A1DF-8C5687C3561F}"/>
            </c:ext>
          </c:extLst>
        </c:ser>
        <c:ser>
          <c:idx val="62"/>
          <c:order val="62"/>
          <c:tx>
            <c:strRef>
              <c:f>Balancesheet_Data!$BX$6:$BX$7</c:f>
              <c:strCache>
                <c:ptCount val="1"/>
                <c:pt idx="0">
                  <c:v>532286</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Balancesheet_Data!$BX$8:$BX$21</c:f>
              <c:numCache>
                <c:formatCode>General</c:formatCode>
                <c:ptCount val="13"/>
                <c:pt idx="2">
                  <c:v>7527</c:v>
                </c:pt>
                <c:pt idx="3">
                  <c:v>11750</c:v>
                </c:pt>
                <c:pt idx="4">
                  <c:v>9133</c:v>
                </c:pt>
                <c:pt idx="5">
                  <c:v>1296</c:v>
                </c:pt>
                <c:pt idx="6">
                  <c:v>-947</c:v>
                </c:pt>
                <c:pt idx="7">
                  <c:v>-2888</c:v>
                </c:pt>
                <c:pt idx="8">
                  <c:v>-3403</c:v>
                </c:pt>
                <c:pt idx="9">
                  <c:v>-2735</c:v>
                </c:pt>
                <c:pt idx="10">
                  <c:v>-6914</c:v>
                </c:pt>
                <c:pt idx="11">
                  <c:v>-16408</c:v>
                </c:pt>
                <c:pt idx="12">
                  <c:v>-456</c:v>
                </c:pt>
              </c:numCache>
            </c:numRef>
          </c:val>
          <c:smooth val="0"/>
          <c:extLst>
            <c:ext xmlns:c16="http://schemas.microsoft.com/office/drawing/2014/chart" uri="{C3380CC4-5D6E-409C-BE32-E72D297353CC}">
              <c16:uniqueId val="{0000003E-CDAB-4793-A1DF-8C5687C3561F}"/>
            </c:ext>
          </c:extLst>
        </c:ser>
        <c:ser>
          <c:idx val="63"/>
          <c:order val="63"/>
          <c:tx>
            <c:strRef>
              <c:f>Balancesheet_Data!$BY$6:$BY$7</c:f>
              <c:strCache>
                <c:ptCount val="1"/>
                <c:pt idx="0">
                  <c:v>532343</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Balancesheet_Data!$BY$8:$BY$21</c:f>
              <c:numCache>
                <c:formatCode>General</c:formatCode>
                <c:ptCount val="13"/>
                <c:pt idx="2">
                  <c:v>-236</c:v>
                </c:pt>
                <c:pt idx="3">
                  <c:v>-340</c:v>
                </c:pt>
                <c:pt idx="4">
                  <c:v>391</c:v>
                </c:pt>
                <c:pt idx="5">
                  <c:v>-28</c:v>
                </c:pt>
                <c:pt idx="6">
                  <c:v>220</c:v>
                </c:pt>
                <c:pt idx="7">
                  <c:v>5617</c:v>
                </c:pt>
                <c:pt idx="8">
                  <c:v>2370</c:v>
                </c:pt>
                <c:pt idx="9">
                  <c:v>2293</c:v>
                </c:pt>
                <c:pt idx="10">
                  <c:v>588</c:v>
                </c:pt>
                <c:pt idx="11">
                  <c:v>3648</c:v>
                </c:pt>
                <c:pt idx="12">
                  <c:v>-2515</c:v>
                </c:pt>
              </c:numCache>
            </c:numRef>
          </c:val>
          <c:smooth val="0"/>
          <c:extLst>
            <c:ext xmlns:c16="http://schemas.microsoft.com/office/drawing/2014/chart" uri="{C3380CC4-5D6E-409C-BE32-E72D297353CC}">
              <c16:uniqueId val="{0000003F-CDAB-4793-A1DF-8C5687C3561F}"/>
            </c:ext>
          </c:extLst>
        </c:ser>
        <c:ser>
          <c:idx val="64"/>
          <c:order val="64"/>
          <c:tx>
            <c:strRef>
              <c:f>Balancesheet_Data!$BZ$6:$BZ$7</c:f>
              <c:strCache>
                <c:ptCount val="1"/>
                <c:pt idx="0">
                  <c:v>532424</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Balancesheet_Data!$BZ$8:$BZ$21</c:f>
              <c:numCache>
                <c:formatCode>General</c:formatCode>
                <c:ptCount val="13"/>
                <c:pt idx="2">
                  <c:v>579</c:v>
                </c:pt>
                <c:pt idx="3">
                  <c:v>-83</c:v>
                </c:pt>
                <c:pt idx="4">
                  <c:v>344</c:v>
                </c:pt>
                <c:pt idx="5">
                  <c:v>174</c:v>
                </c:pt>
                <c:pt idx="6">
                  <c:v>1110</c:v>
                </c:pt>
                <c:pt idx="7">
                  <c:v>-493</c:v>
                </c:pt>
                <c:pt idx="8">
                  <c:v>-126</c:v>
                </c:pt>
                <c:pt idx="9">
                  <c:v>193</c:v>
                </c:pt>
                <c:pt idx="10">
                  <c:v>-1711</c:v>
                </c:pt>
                <c:pt idx="11">
                  <c:v>-160</c:v>
                </c:pt>
                <c:pt idx="12">
                  <c:v>-574</c:v>
                </c:pt>
              </c:numCache>
            </c:numRef>
          </c:val>
          <c:smooth val="0"/>
          <c:extLst>
            <c:ext xmlns:c16="http://schemas.microsoft.com/office/drawing/2014/chart" uri="{C3380CC4-5D6E-409C-BE32-E72D297353CC}">
              <c16:uniqueId val="{00000040-CDAB-4793-A1DF-8C5687C3561F}"/>
            </c:ext>
          </c:extLst>
        </c:ser>
        <c:ser>
          <c:idx val="65"/>
          <c:order val="65"/>
          <c:tx>
            <c:strRef>
              <c:f>Balancesheet_Data!$CA$6:$CA$7</c:f>
              <c:strCache>
                <c:ptCount val="1"/>
                <c:pt idx="0">
                  <c:v>532432</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Balancesheet_Data!$CA$8:$CA$21</c:f>
              <c:numCache>
                <c:formatCode>General</c:formatCode>
                <c:ptCount val="13"/>
                <c:pt idx="2">
                  <c:v>78</c:v>
                </c:pt>
                <c:pt idx="3">
                  <c:v>65</c:v>
                </c:pt>
                <c:pt idx="4">
                  <c:v>-3320</c:v>
                </c:pt>
                <c:pt idx="5">
                  <c:v>-745</c:v>
                </c:pt>
                <c:pt idx="6">
                  <c:v>-98</c:v>
                </c:pt>
                <c:pt idx="7">
                  <c:v>-723</c:v>
                </c:pt>
                <c:pt idx="8">
                  <c:v>-538</c:v>
                </c:pt>
                <c:pt idx="9">
                  <c:v>-313</c:v>
                </c:pt>
                <c:pt idx="10">
                  <c:v>-1533</c:v>
                </c:pt>
                <c:pt idx="11">
                  <c:v>-432</c:v>
                </c:pt>
                <c:pt idx="12">
                  <c:v>-422</c:v>
                </c:pt>
              </c:numCache>
            </c:numRef>
          </c:val>
          <c:smooth val="0"/>
          <c:extLst>
            <c:ext xmlns:c16="http://schemas.microsoft.com/office/drawing/2014/chart" uri="{C3380CC4-5D6E-409C-BE32-E72D297353CC}">
              <c16:uniqueId val="{00000041-CDAB-4793-A1DF-8C5687C3561F}"/>
            </c:ext>
          </c:extLst>
        </c:ser>
        <c:ser>
          <c:idx val="66"/>
          <c:order val="66"/>
          <c:tx>
            <c:strRef>
              <c:f>Balancesheet_Data!$CB$6:$CB$7</c:f>
              <c:strCache>
                <c:ptCount val="1"/>
                <c:pt idx="0">
                  <c:v>532454</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Balancesheet_Data!$CB$8:$CB$21</c:f>
              <c:numCache>
                <c:formatCode>General</c:formatCode>
                <c:ptCount val="13"/>
                <c:pt idx="2">
                  <c:v>-2287</c:v>
                </c:pt>
                <c:pt idx="3">
                  <c:v>9160</c:v>
                </c:pt>
                <c:pt idx="4">
                  <c:v>7519</c:v>
                </c:pt>
                <c:pt idx="5">
                  <c:v>17231</c:v>
                </c:pt>
                <c:pt idx="6">
                  <c:v>6642</c:v>
                </c:pt>
                <c:pt idx="7">
                  <c:v>4046</c:v>
                </c:pt>
                <c:pt idx="8">
                  <c:v>14094</c:v>
                </c:pt>
                <c:pt idx="9">
                  <c:v>22800</c:v>
                </c:pt>
                <c:pt idx="10">
                  <c:v>14557</c:v>
                </c:pt>
                <c:pt idx="11">
                  <c:v>6893</c:v>
                </c:pt>
                <c:pt idx="12">
                  <c:v>56342</c:v>
                </c:pt>
              </c:numCache>
            </c:numRef>
          </c:val>
          <c:smooth val="0"/>
          <c:extLst>
            <c:ext xmlns:c16="http://schemas.microsoft.com/office/drawing/2014/chart" uri="{C3380CC4-5D6E-409C-BE32-E72D297353CC}">
              <c16:uniqueId val="{00000042-CDAB-4793-A1DF-8C5687C3561F}"/>
            </c:ext>
          </c:extLst>
        </c:ser>
        <c:ser>
          <c:idx val="67"/>
          <c:order val="67"/>
          <c:tx>
            <c:strRef>
              <c:f>Balancesheet_Data!$CC$6:$CC$7</c:f>
              <c:strCache>
                <c:ptCount val="1"/>
                <c:pt idx="0">
                  <c:v>532461</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Balancesheet_Data!$CC$8:$CC$21</c:f>
              <c:numCache>
                <c:formatCode>General</c:formatCode>
                <c:ptCount val="13"/>
                <c:pt idx="2">
                  <c:v>19036</c:v>
                </c:pt>
                <c:pt idx="3">
                  <c:v>74147</c:v>
                </c:pt>
                <c:pt idx="4">
                  <c:v>54213</c:v>
                </c:pt>
                <c:pt idx="5">
                  <c:v>77606</c:v>
                </c:pt>
                <c:pt idx="6">
                  <c:v>20931</c:v>
                </c:pt>
                <c:pt idx="7">
                  <c:v>40782</c:v>
                </c:pt>
                <c:pt idx="8">
                  <c:v>14933</c:v>
                </c:pt>
                <c:pt idx="9">
                  <c:v>44065</c:v>
                </c:pt>
                <c:pt idx="10">
                  <c:v>393248</c:v>
                </c:pt>
                <c:pt idx="11">
                  <c:v>47591</c:v>
                </c:pt>
              </c:numCache>
            </c:numRef>
          </c:val>
          <c:smooth val="0"/>
          <c:extLst>
            <c:ext xmlns:c16="http://schemas.microsoft.com/office/drawing/2014/chart" uri="{C3380CC4-5D6E-409C-BE32-E72D297353CC}">
              <c16:uniqueId val="{00000043-CDAB-4793-A1DF-8C5687C3561F}"/>
            </c:ext>
          </c:extLst>
        </c:ser>
        <c:ser>
          <c:idx val="68"/>
          <c:order val="68"/>
          <c:tx>
            <c:strRef>
              <c:f>Balancesheet_Data!$CD$6:$CD$7</c:f>
              <c:strCache>
                <c:ptCount val="1"/>
                <c:pt idx="0">
                  <c:v>532483</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Balancesheet_Data!$CD$8:$CD$21</c:f>
              <c:numCache>
                <c:formatCode>General</c:formatCode>
                <c:ptCount val="13"/>
                <c:pt idx="2">
                  <c:v>33532</c:v>
                </c:pt>
                <c:pt idx="3">
                  <c:v>71873</c:v>
                </c:pt>
                <c:pt idx="4">
                  <c:v>51575</c:v>
                </c:pt>
                <c:pt idx="5">
                  <c:v>7224</c:v>
                </c:pt>
                <c:pt idx="6">
                  <c:v>28146</c:v>
                </c:pt>
                <c:pt idx="7">
                  <c:v>28898</c:v>
                </c:pt>
                <c:pt idx="8">
                  <c:v>76410</c:v>
                </c:pt>
                <c:pt idx="9">
                  <c:v>28004</c:v>
                </c:pt>
                <c:pt idx="10">
                  <c:v>392828</c:v>
                </c:pt>
                <c:pt idx="11">
                  <c:v>71628</c:v>
                </c:pt>
              </c:numCache>
            </c:numRef>
          </c:val>
          <c:smooth val="0"/>
          <c:extLst>
            <c:ext xmlns:c16="http://schemas.microsoft.com/office/drawing/2014/chart" uri="{C3380CC4-5D6E-409C-BE32-E72D297353CC}">
              <c16:uniqueId val="{00000044-CDAB-4793-A1DF-8C5687C3561F}"/>
            </c:ext>
          </c:extLst>
        </c:ser>
        <c:ser>
          <c:idx val="69"/>
          <c:order val="69"/>
          <c:tx>
            <c:strRef>
              <c:f>Balancesheet_Data!$CE$6:$CE$7</c:f>
              <c:strCache>
                <c:ptCount val="1"/>
                <c:pt idx="0">
                  <c:v>532488</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Balancesheet_Data!$CE$8:$CE$21</c:f>
              <c:numCache>
                <c:formatCode>General</c:formatCode>
                <c:ptCount val="13"/>
                <c:pt idx="2">
                  <c:v>-22</c:v>
                </c:pt>
                <c:pt idx="3">
                  <c:v>-15</c:v>
                </c:pt>
                <c:pt idx="4">
                  <c:v>9</c:v>
                </c:pt>
                <c:pt idx="5">
                  <c:v>15</c:v>
                </c:pt>
                <c:pt idx="6">
                  <c:v>-6</c:v>
                </c:pt>
                <c:pt idx="7">
                  <c:v>27</c:v>
                </c:pt>
                <c:pt idx="8">
                  <c:v>43</c:v>
                </c:pt>
                <c:pt idx="9">
                  <c:v>-67</c:v>
                </c:pt>
                <c:pt idx="10">
                  <c:v>-34</c:v>
                </c:pt>
                <c:pt idx="11">
                  <c:v>-1</c:v>
                </c:pt>
                <c:pt idx="12">
                  <c:v>-1</c:v>
                </c:pt>
              </c:numCache>
            </c:numRef>
          </c:val>
          <c:smooth val="0"/>
          <c:extLst>
            <c:ext xmlns:c16="http://schemas.microsoft.com/office/drawing/2014/chart" uri="{C3380CC4-5D6E-409C-BE32-E72D297353CC}">
              <c16:uniqueId val="{00000045-CDAB-4793-A1DF-8C5687C3561F}"/>
            </c:ext>
          </c:extLst>
        </c:ser>
        <c:ser>
          <c:idx val="70"/>
          <c:order val="70"/>
          <c:tx>
            <c:strRef>
              <c:f>Balancesheet_Data!$CF$6:$CF$7</c:f>
              <c:strCache>
                <c:ptCount val="1"/>
                <c:pt idx="0">
                  <c:v>532500</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Balancesheet_Data!$CF$8:$CF$21</c:f>
              <c:numCache>
                <c:formatCode>General</c:formatCode>
                <c:ptCount val="13"/>
                <c:pt idx="2">
                  <c:v>148</c:v>
                </c:pt>
                <c:pt idx="3">
                  <c:v>435</c:v>
                </c:pt>
                <c:pt idx="4">
                  <c:v>-1338</c:v>
                </c:pt>
                <c:pt idx="5">
                  <c:v>-435</c:v>
                </c:pt>
                <c:pt idx="6">
                  <c:v>253</c:v>
                </c:pt>
                <c:pt idx="7">
                  <c:v>-363</c:v>
                </c:pt>
                <c:pt idx="8">
                  <c:v>39</c:v>
                </c:pt>
                <c:pt idx="9">
                  <c:v>24</c:v>
                </c:pt>
                <c:pt idx="10">
                  <c:v>357</c:v>
                </c:pt>
                <c:pt idx="11">
                  <c:v>-115</c:v>
                </c:pt>
                <c:pt idx="12">
                  <c:v>821</c:v>
                </c:pt>
              </c:numCache>
            </c:numRef>
          </c:val>
          <c:smooth val="0"/>
          <c:extLst>
            <c:ext xmlns:c16="http://schemas.microsoft.com/office/drawing/2014/chart" uri="{C3380CC4-5D6E-409C-BE32-E72D297353CC}">
              <c16:uniqueId val="{00000046-CDAB-4793-A1DF-8C5687C3561F}"/>
            </c:ext>
          </c:extLst>
        </c:ser>
        <c:ser>
          <c:idx val="71"/>
          <c:order val="71"/>
          <c:tx>
            <c:strRef>
              <c:f>Balancesheet_Data!$CG$6:$CG$7</c:f>
              <c:strCache>
                <c:ptCount val="1"/>
                <c:pt idx="0">
                  <c:v>532538</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Balancesheet_Data!$CG$8:$CG$21</c:f>
              <c:numCache>
                <c:formatCode>General</c:formatCode>
                <c:ptCount val="13"/>
                <c:pt idx="2">
                  <c:v>1451</c:v>
                </c:pt>
                <c:pt idx="3">
                  <c:v>-10</c:v>
                </c:pt>
                <c:pt idx="4">
                  <c:v>2497</c:v>
                </c:pt>
                <c:pt idx="5">
                  <c:v>787</c:v>
                </c:pt>
                <c:pt idx="6">
                  <c:v>-2142</c:v>
                </c:pt>
                <c:pt idx="7">
                  <c:v>11006</c:v>
                </c:pt>
                <c:pt idx="8">
                  <c:v>5857</c:v>
                </c:pt>
                <c:pt idx="9">
                  <c:v>-2318</c:v>
                </c:pt>
                <c:pt idx="10">
                  <c:v>-1300</c:v>
                </c:pt>
                <c:pt idx="11">
                  <c:v>-10420</c:v>
                </c:pt>
                <c:pt idx="12">
                  <c:v>-241</c:v>
                </c:pt>
              </c:numCache>
            </c:numRef>
          </c:val>
          <c:smooth val="0"/>
          <c:extLst>
            <c:ext xmlns:c16="http://schemas.microsoft.com/office/drawing/2014/chart" uri="{C3380CC4-5D6E-409C-BE32-E72D297353CC}">
              <c16:uniqueId val="{00000047-CDAB-4793-A1DF-8C5687C3561F}"/>
            </c:ext>
          </c:extLst>
        </c:ser>
        <c:ser>
          <c:idx val="72"/>
          <c:order val="72"/>
          <c:tx>
            <c:strRef>
              <c:f>Balancesheet_Data!$CH$6:$CH$7</c:f>
              <c:strCache>
                <c:ptCount val="1"/>
                <c:pt idx="0">
                  <c:v>532540</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Balancesheet_Data!$CH$8:$CH$21</c:f>
              <c:numCache>
                <c:formatCode>General</c:formatCode>
                <c:ptCount val="13"/>
                <c:pt idx="2">
                  <c:v>105</c:v>
                </c:pt>
                <c:pt idx="3">
                  <c:v>65</c:v>
                </c:pt>
                <c:pt idx="4">
                  <c:v>61</c:v>
                </c:pt>
                <c:pt idx="5">
                  <c:v>-113</c:v>
                </c:pt>
                <c:pt idx="6">
                  <c:v>44</c:v>
                </c:pt>
                <c:pt idx="7">
                  <c:v>-42</c:v>
                </c:pt>
                <c:pt idx="8">
                  <c:v>-185</c:v>
                </c:pt>
                <c:pt idx="9">
                  <c:v>8112</c:v>
                </c:pt>
                <c:pt idx="10">
                  <c:v>-379</c:v>
                </c:pt>
                <c:pt idx="11">
                  <c:v>23</c:v>
                </c:pt>
                <c:pt idx="12">
                  <c:v>-130</c:v>
                </c:pt>
              </c:numCache>
            </c:numRef>
          </c:val>
          <c:smooth val="0"/>
          <c:extLst>
            <c:ext xmlns:c16="http://schemas.microsoft.com/office/drawing/2014/chart" uri="{C3380CC4-5D6E-409C-BE32-E72D297353CC}">
              <c16:uniqueId val="{00000048-CDAB-4793-A1DF-8C5687C3561F}"/>
            </c:ext>
          </c:extLst>
        </c:ser>
        <c:ser>
          <c:idx val="73"/>
          <c:order val="73"/>
          <c:tx>
            <c:strRef>
              <c:f>Balancesheet_Data!$CI$6:$CI$7</c:f>
              <c:strCache>
                <c:ptCount val="1"/>
                <c:pt idx="0">
                  <c:v>532555</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Balancesheet_Data!$CI$8:$CI$21</c:f>
              <c:numCache>
                <c:formatCode>General</c:formatCode>
                <c:ptCount val="13"/>
                <c:pt idx="2">
                  <c:v>10615</c:v>
                </c:pt>
                <c:pt idx="3">
                  <c:v>11036</c:v>
                </c:pt>
                <c:pt idx="4">
                  <c:v>20797</c:v>
                </c:pt>
                <c:pt idx="5">
                  <c:v>-2828</c:v>
                </c:pt>
                <c:pt idx="6">
                  <c:v>14349</c:v>
                </c:pt>
                <c:pt idx="7">
                  <c:v>16276</c:v>
                </c:pt>
                <c:pt idx="8">
                  <c:v>43009</c:v>
                </c:pt>
                <c:pt idx="9">
                  <c:v>29926</c:v>
                </c:pt>
                <c:pt idx="10">
                  <c:v>7224</c:v>
                </c:pt>
                <c:pt idx="11">
                  <c:v>499</c:v>
                </c:pt>
                <c:pt idx="12">
                  <c:v>10919</c:v>
                </c:pt>
              </c:numCache>
            </c:numRef>
          </c:val>
          <c:smooth val="0"/>
          <c:extLst>
            <c:ext xmlns:c16="http://schemas.microsoft.com/office/drawing/2014/chart" uri="{C3380CC4-5D6E-409C-BE32-E72D297353CC}">
              <c16:uniqueId val="{00000049-CDAB-4793-A1DF-8C5687C3561F}"/>
            </c:ext>
          </c:extLst>
        </c:ser>
        <c:ser>
          <c:idx val="74"/>
          <c:order val="74"/>
          <c:tx>
            <c:strRef>
              <c:f>Balancesheet_Data!$CJ$6:$CJ$7</c:f>
              <c:strCache>
                <c:ptCount val="1"/>
                <c:pt idx="0">
                  <c:v>532755</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Balancesheet_Data!$CJ$8:$CJ$21</c:f>
              <c:numCache>
                <c:formatCode>General</c:formatCode>
                <c:ptCount val="13"/>
                <c:pt idx="2">
                  <c:v>253</c:v>
                </c:pt>
                <c:pt idx="3">
                  <c:v>-1017</c:v>
                </c:pt>
                <c:pt idx="4">
                  <c:v>337</c:v>
                </c:pt>
                <c:pt idx="5">
                  <c:v>391</c:v>
                </c:pt>
                <c:pt idx="6">
                  <c:v>275</c:v>
                </c:pt>
                <c:pt idx="7">
                  <c:v>1031</c:v>
                </c:pt>
                <c:pt idx="8">
                  <c:v>-401</c:v>
                </c:pt>
                <c:pt idx="9">
                  <c:v>1674</c:v>
                </c:pt>
                <c:pt idx="10">
                  <c:v>-769</c:v>
                </c:pt>
                <c:pt idx="11">
                  <c:v>-283</c:v>
                </c:pt>
                <c:pt idx="12">
                  <c:v>122</c:v>
                </c:pt>
              </c:numCache>
            </c:numRef>
          </c:val>
          <c:smooth val="0"/>
          <c:extLst>
            <c:ext xmlns:c16="http://schemas.microsoft.com/office/drawing/2014/chart" uri="{C3380CC4-5D6E-409C-BE32-E72D297353CC}">
              <c16:uniqueId val="{0000004A-CDAB-4793-A1DF-8C5687C3561F}"/>
            </c:ext>
          </c:extLst>
        </c:ser>
        <c:ser>
          <c:idx val="75"/>
          <c:order val="75"/>
          <c:tx>
            <c:strRef>
              <c:f>Balancesheet_Data!$CK$6:$CK$7</c:f>
              <c:strCache>
                <c:ptCount val="1"/>
                <c:pt idx="0">
                  <c:v>532868</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Balancesheet_Data!$CK$8:$CK$21</c:f>
              <c:numCache>
                <c:formatCode>General</c:formatCode>
                <c:ptCount val="13"/>
                <c:pt idx="2">
                  <c:v>-265</c:v>
                </c:pt>
                <c:pt idx="3">
                  <c:v>-2467</c:v>
                </c:pt>
                <c:pt idx="4">
                  <c:v>2161</c:v>
                </c:pt>
                <c:pt idx="5">
                  <c:v>769</c:v>
                </c:pt>
                <c:pt idx="6">
                  <c:v>3938</c:v>
                </c:pt>
                <c:pt idx="7">
                  <c:v>-11711</c:v>
                </c:pt>
                <c:pt idx="8">
                  <c:v>-269</c:v>
                </c:pt>
                <c:pt idx="9">
                  <c:v>-9119</c:v>
                </c:pt>
                <c:pt idx="10">
                  <c:v>-1318</c:v>
                </c:pt>
                <c:pt idx="11">
                  <c:v>-2603</c:v>
                </c:pt>
                <c:pt idx="12">
                  <c:v>-848</c:v>
                </c:pt>
              </c:numCache>
            </c:numRef>
          </c:val>
          <c:smooth val="0"/>
          <c:extLst>
            <c:ext xmlns:c16="http://schemas.microsoft.com/office/drawing/2014/chart" uri="{C3380CC4-5D6E-409C-BE32-E72D297353CC}">
              <c16:uniqueId val="{0000004B-CDAB-4793-A1DF-8C5687C3561F}"/>
            </c:ext>
          </c:extLst>
        </c:ser>
        <c:ser>
          <c:idx val="76"/>
          <c:order val="76"/>
          <c:tx>
            <c:strRef>
              <c:f>Balancesheet_Data!$CL$6:$CL$7</c:f>
              <c:strCache>
                <c:ptCount val="1"/>
                <c:pt idx="0">
                  <c:v>532898</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Balancesheet_Data!$CL$8:$CL$21</c:f>
              <c:numCache>
                <c:formatCode>General</c:formatCode>
                <c:ptCount val="13"/>
                <c:pt idx="2">
                  <c:v>14878</c:v>
                </c:pt>
                <c:pt idx="3">
                  <c:v>14987</c:v>
                </c:pt>
                <c:pt idx="4">
                  <c:v>12023</c:v>
                </c:pt>
                <c:pt idx="5">
                  <c:v>12302</c:v>
                </c:pt>
                <c:pt idx="6">
                  <c:v>10443</c:v>
                </c:pt>
                <c:pt idx="7">
                  <c:v>12515</c:v>
                </c:pt>
                <c:pt idx="8">
                  <c:v>14873</c:v>
                </c:pt>
                <c:pt idx="9">
                  <c:v>1894</c:v>
                </c:pt>
                <c:pt idx="10">
                  <c:v>-5038</c:v>
                </c:pt>
                <c:pt idx="11">
                  <c:v>-8536</c:v>
                </c:pt>
                <c:pt idx="12">
                  <c:v>-8035</c:v>
                </c:pt>
              </c:numCache>
            </c:numRef>
          </c:val>
          <c:smooth val="0"/>
          <c:extLst>
            <c:ext xmlns:c16="http://schemas.microsoft.com/office/drawing/2014/chart" uri="{C3380CC4-5D6E-409C-BE32-E72D297353CC}">
              <c16:uniqueId val="{0000004C-CDAB-4793-A1DF-8C5687C3561F}"/>
            </c:ext>
          </c:extLst>
        </c:ser>
        <c:ser>
          <c:idx val="77"/>
          <c:order val="77"/>
          <c:tx>
            <c:strRef>
              <c:f>Balancesheet_Data!$CM$6:$CM$7</c:f>
              <c:strCache>
                <c:ptCount val="1"/>
                <c:pt idx="0">
                  <c:v>532921</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Balancesheet_Data!$CM$8:$CM$21</c:f>
              <c:numCache>
                <c:formatCode>General</c:formatCode>
                <c:ptCount val="13"/>
                <c:pt idx="1">
                  <c:v>13973</c:v>
                </c:pt>
                <c:pt idx="2">
                  <c:v>-5948</c:v>
                </c:pt>
                <c:pt idx="3">
                  <c:v>1359</c:v>
                </c:pt>
                <c:pt idx="4">
                  <c:v>4797</c:v>
                </c:pt>
                <c:pt idx="5">
                  <c:v>4569</c:v>
                </c:pt>
                <c:pt idx="6">
                  <c:v>-128</c:v>
                </c:pt>
                <c:pt idx="7">
                  <c:v>-102</c:v>
                </c:pt>
                <c:pt idx="8">
                  <c:v>5334</c:v>
                </c:pt>
                <c:pt idx="9">
                  <c:v>2533</c:v>
                </c:pt>
                <c:pt idx="10">
                  <c:v>5604</c:v>
                </c:pt>
                <c:pt idx="11">
                  <c:v>9716</c:v>
                </c:pt>
              </c:numCache>
            </c:numRef>
          </c:val>
          <c:smooth val="0"/>
          <c:extLst>
            <c:ext xmlns:c16="http://schemas.microsoft.com/office/drawing/2014/chart" uri="{C3380CC4-5D6E-409C-BE32-E72D297353CC}">
              <c16:uniqueId val="{0000004D-CDAB-4793-A1DF-8C5687C3561F}"/>
            </c:ext>
          </c:extLst>
        </c:ser>
        <c:ser>
          <c:idx val="78"/>
          <c:order val="78"/>
          <c:tx>
            <c:strRef>
              <c:f>Balancesheet_Data!$CN$6:$CN$7</c:f>
              <c:strCache>
                <c:ptCount val="1"/>
                <c:pt idx="0">
                  <c:v>532977</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Balancesheet_Data!$CN$8:$CN$21</c:f>
              <c:numCache>
                <c:formatCode>General</c:formatCode>
                <c:ptCount val="13"/>
                <c:pt idx="2">
                  <c:v>-34</c:v>
                </c:pt>
                <c:pt idx="3">
                  <c:v>-57</c:v>
                </c:pt>
                <c:pt idx="4">
                  <c:v>53</c:v>
                </c:pt>
                <c:pt idx="5">
                  <c:v>6</c:v>
                </c:pt>
                <c:pt idx="6">
                  <c:v>2</c:v>
                </c:pt>
                <c:pt idx="7">
                  <c:v>1</c:v>
                </c:pt>
                <c:pt idx="8">
                  <c:v>4</c:v>
                </c:pt>
                <c:pt idx="9">
                  <c:v>1</c:v>
                </c:pt>
                <c:pt idx="10">
                  <c:v>-5</c:v>
                </c:pt>
                <c:pt idx="11">
                  <c:v>2</c:v>
                </c:pt>
                <c:pt idx="12">
                  <c:v>1</c:v>
                </c:pt>
              </c:numCache>
            </c:numRef>
          </c:val>
          <c:smooth val="0"/>
          <c:extLst>
            <c:ext xmlns:c16="http://schemas.microsoft.com/office/drawing/2014/chart" uri="{C3380CC4-5D6E-409C-BE32-E72D297353CC}">
              <c16:uniqueId val="{0000004E-CDAB-4793-A1DF-8C5687C3561F}"/>
            </c:ext>
          </c:extLst>
        </c:ser>
        <c:ser>
          <c:idx val="79"/>
          <c:order val="79"/>
          <c:tx>
            <c:strRef>
              <c:f>Balancesheet_Data!$CO$6:$CO$7</c:f>
              <c:strCache>
                <c:ptCount val="1"/>
                <c:pt idx="0">
                  <c:v>532978</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Balancesheet_Data!$CO$8:$CO$21</c:f>
              <c:numCache>
                <c:formatCode>General</c:formatCode>
                <c:ptCount val="13"/>
                <c:pt idx="2">
                  <c:v>2790</c:v>
                </c:pt>
                <c:pt idx="3">
                  <c:v>6516</c:v>
                </c:pt>
                <c:pt idx="4">
                  <c:v>6805</c:v>
                </c:pt>
                <c:pt idx="5">
                  <c:v>9750</c:v>
                </c:pt>
                <c:pt idx="6">
                  <c:v>12220</c:v>
                </c:pt>
                <c:pt idx="7">
                  <c:v>17413</c:v>
                </c:pt>
                <c:pt idx="8">
                  <c:v>34059</c:v>
                </c:pt>
                <c:pt idx="9">
                  <c:v>27458</c:v>
                </c:pt>
                <c:pt idx="10">
                  <c:v>1249</c:v>
                </c:pt>
                <c:pt idx="11">
                  <c:v>32718</c:v>
                </c:pt>
                <c:pt idx="12">
                  <c:v>51086</c:v>
                </c:pt>
              </c:numCache>
            </c:numRef>
          </c:val>
          <c:smooth val="0"/>
          <c:extLst>
            <c:ext xmlns:c16="http://schemas.microsoft.com/office/drawing/2014/chart" uri="{C3380CC4-5D6E-409C-BE32-E72D297353CC}">
              <c16:uniqueId val="{0000004F-CDAB-4793-A1DF-8C5687C3561F}"/>
            </c:ext>
          </c:extLst>
        </c:ser>
        <c:ser>
          <c:idx val="80"/>
          <c:order val="80"/>
          <c:tx>
            <c:strRef>
              <c:f>Balancesheet_Data!$CP$6:$CP$7</c:f>
              <c:strCache>
                <c:ptCount val="1"/>
                <c:pt idx="0">
                  <c:v>533096</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Balancesheet_Data!$CP$8:$CP$21</c:f>
              <c:numCache>
                <c:formatCode>General</c:formatCode>
                <c:ptCount val="13"/>
                <c:pt idx="2">
                  <c:v>3195</c:v>
                </c:pt>
                <c:pt idx="3">
                  <c:v>2355</c:v>
                </c:pt>
                <c:pt idx="4">
                  <c:v>592</c:v>
                </c:pt>
                <c:pt idx="5">
                  <c:v>7987</c:v>
                </c:pt>
                <c:pt idx="6">
                  <c:v>-245</c:v>
                </c:pt>
                <c:pt idx="7">
                  <c:v>351</c:v>
                </c:pt>
                <c:pt idx="8">
                  <c:v>-5855</c:v>
                </c:pt>
                <c:pt idx="9">
                  <c:v>8143</c:v>
                </c:pt>
                <c:pt idx="10">
                  <c:v>-2693</c:v>
                </c:pt>
                <c:pt idx="11">
                  <c:v>-3686</c:v>
                </c:pt>
                <c:pt idx="12">
                  <c:v>-6394</c:v>
                </c:pt>
              </c:numCache>
            </c:numRef>
          </c:val>
          <c:smooth val="0"/>
          <c:extLst>
            <c:ext xmlns:c16="http://schemas.microsoft.com/office/drawing/2014/chart" uri="{C3380CC4-5D6E-409C-BE32-E72D297353CC}">
              <c16:uniqueId val="{00000050-CDAB-4793-A1DF-8C5687C3561F}"/>
            </c:ext>
          </c:extLst>
        </c:ser>
        <c:ser>
          <c:idx val="81"/>
          <c:order val="81"/>
          <c:tx>
            <c:strRef>
              <c:f>Balancesheet_Data!$CQ$6:$CQ$7</c:f>
              <c:strCache>
                <c:ptCount val="1"/>
                <c:pt idx="0">
                  <c:v>533278</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Balancesheet_Data!$CQ$8:$CQ$21</c:f>
              <c:numCache>
                <c:formatCode>General</c:formatCode>
                <c:ptCount val="13"/>
                <c:pt idx="2">
                  <c:v>-222</c:v>
                </c:pt>
                <c:pt idx="3">
                  <c:v>-1127</c:v>
                </c:pt>
                <c:pt idx="4">
                  <c:v>230</c:v>
                </c:pt>
                <c:pt idx="5">
                  <c:v>791</c:v>
                </c:pt>
                <c:pt idx="6">
                  <c:v>1815</c:v>
                </c:pt>
                <c:pt idx="7">
                  <c:v>-1476</c:v>
                </c:pt>
                <c:pt idx="8">
                  <c:v>672</c:v>
                </c:pt>
                <c:pt idx="9">
                  <c:v>4224</c:v>
                </c:pt>
                <c:pt idx="10">
                  <c:v>-550</c:v>
                </c:pt>
                <c:pt idx="11">
                  <c:v>-2370</c:v>
                </c:pt>
                <c:pt idx="12">
                  <c:v>817</c:v>
                </c:pt>
              </c:numCache>
            </c:numRef>
          </c:val>
          <c:smooth val="0"/>
          <c:extLst>
            <c:ext xmlns:c16="http://schemas.microsoft.com/office/drawing/2014/chart" uri="{C3380CC4-5D6E-409C-BE32-E72D297353CC}">
              <c16:uniqueId val="{00000051-CDAB-4793-A1DF-8C5687C3561F}"/>
            </c:ext>
          </c:extLst>
        </c:ser>
        <c:ser>
          <c:idx val="82"/>
          <c:order val="82"/>
          <c:tx>
            <c:strRef>
              <c:f>Balancesheet_Data!$CR$6:$CR$7</c:f>
              <c:strCache>
                <c:ptCount val="1"/>
                <c:pt idx="0">
                  <c:v>539254</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Balancesheet_Data!$CR$8:$CR$21</c:f>
              <c:numCache>
                <c:formatCode>General</c:formatCode>
                <c:ptCount val="13"/>
                <c:pt idx="4">
                  <c:v>9701</c:v>
                </c:pt>
                <c:pt idx="5">
                  <c:v>-1116</c:v>
                </c:pt>
                <c:pt idx="6">
                  <c:v>390</c:v>
                </c:pt>
                <c:pt idx="7">
                  <c:v>1453</c:v>
                </c:pt>
                <c:pt idx="8">
                  <c:v>9709</c:v>
                </c:pt>
                <c:pt idx="9">
                  <c:v>4109</c:v>
                </c:pt>
                <c:pt idx="10">
                  <c:v>2849</c:v>
                </c:pt>
                <c:pt idx="11">
                  <c:v>6505</c:v>
                </c:pt>
              </c:numCache>
            </c:numRef>
          </c:val>
          <c:smooth val="0"/>
          <c:extLst>
            <c:ext xmlns:c16="http://schemas.microsoft.com/office/drawing/2014/chart" uri="{C3380CC4-5D6E-409C-BE32-E72D297353CC}">
              <c16:uniqueId val="{00000052-CDAB-4793-A1DF-8C5687C3561F}"/>
            </c:ext>
          </c:extLst>
        </c:ser>
        <c:ser>
          <c:idx val="83"/>
          <c:order val="83"/>
          <c:tx>
            <c:strRef>
              <c:f>Balancesheet_Data!$CS$6:$CS$7</c:f>
              <c:strCache>
                <c:ptCount val="1"/>
                <c:pt idx="0">
                  <c:v>539448</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Balancesheet_Data!$CS$8:$CS$21</c:f>
              <c:numCache>
                <c:formatCode>General</c:formatCode>
                <c:ptCount val="13"/>
                <c:pt idx="2">
                  <c:v>784</c:v>
                </c:pt>
                <c:pt idx="3">
                  <c:v>1546</c:v>
                </c:pt>
                <c:pt idx="4">
                  <c:v>580</c:v>
                </c:pt>
                <c:pt idx="5">
                  <c:v>-681</c:v>
                </c:pt>
                <c:pt idx="6">
                  <c:v>-649</c:v>
                </c:pt>
                <c:pt idx="7">
                  <c:v>-143</c:v>
                </c:pt>
                <c:pt idx="8">
                  <c:v>-24</c:v>
                </c:pt>
                <c:pt idx="9">
                  <c:v>20290</c:v>
                </c:pt>
                <c:pt idx="10">
                  <c:v>7141</c:v>
                </c:pt>
                <c:pt idx="11">
                  <c:v>7018</c:v>
                </c:pt>
                <c:pt idx="12">
                  <c:v>7976</c:v>
                </c:pt>
              </c:numCache>
            </c:numRef>
          </c:val>
          <c:smooth val="0"/>
          <c:extLst>
            <c:ext xmlns:c16="http://schemas.microsoft.com/office/drawing/2014/chart" uri="{C3380CC4-5D6E-409C-BE32-E72D297353CC}">
              <c16:uniqueId val="{00000053-CDAB-4793-A1DF-8C5687C3561F}"/>
            </c:ext>
          </c:extLst>
        </c:ser>
        <c:ser>
          <c:idx val="84"/>
          <c:order val="84"/>
          <c:tx>
            <c:strRef>
              <c:f>Balancesheet_Data!$CT$6:$CT$7</c:f>
              <c:strCache>
                <c:ptCount val="1"/>
                <c:pt idx="0">
                  <c:v>540005</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Balancesheet_Data!$CT$8:$CT$21</c:f>
              <c:numCache>
                <c:formatCode>General</c:formatCode>
                <c:ptCount val="13"/>
                <c:pt idx="2">
                  <c:v>-35</c:v>
                </c:pt>
                <c:pt idx="3">
                  <c:v>-124</c:v>
                </c:pt>
                <c:pt idx="4">
                  <c:v>108</c:v>
                </c:pt>
                <c:pt idx="5">
                  <c:v>-163</c:v>
                </c:pt>
                <c:pt idx="6">
                  <c:v>-55</c:v>
                </c:pt>
                <c:pt idx="7">
                  <c:v>0</c:v>
                </c:pt>
                <c:pt idx="8">
                  <c:v>0</c:v>
                </c:pt>
                <c:pt idx="9">
                  <c:v>912</c:v>
                </c:pt>
                <c:pt idx="10">
                  <c:v>-114</c:v>
                </c:pt>
                <c:pt idx="11">
                  <c:v>38</c:v>
                </c:pt>
                <c:pt idx="12">
                  <c:v>705</c:v>
                </c:pt>
              </c:numCache>
            </c:numRef>
          </c:val>
          <c:smooth val="0"/>
          <c:extLst>
            <c:ext xmlns:c16="http://schemas.microsoft.com/office/drawing/2014/chart" uri="{C3380CC4-5D6E-409C-BE32-E72D297353CC}">
              <c16:uniqueId val="{00000054-CDAB-4793-A1DF-8C5687C3561F}"/>
            </c:ext>
          </c:extLst>
        </c:ser>
        <c:ser>
          <c:idx val="85"/>
          <c:order val="85"/>
          <c:tx>
            <c:strRef>
              <c:f>Balancesheet_Data!$CU$6:$CU$7</c:f>
              <c:strCache>
                <c:ptCount val="1"/>
                <c:pt idx="0">
                  <c:v>540133</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Balancesheet_Data!$CU$8:$CU$21</c:f>
              <c:numCache>
                <c:formatCode>General</c:formatCode>
                <c:ptCount val="13"/>
                <c:pt idx="2">
                  <c:v>0</c:v>
                </c:pt>
                <c:pt idx="3">
                  <c:v>0</c:v>
                </c:pt>
                <c:pt idx="4">
                  <c:v>0</c:v>
                </c:pt>
                <c:pt idx="5">
                  <c:v>1029</c:v>
                </c:pt>
                <c:pt idx="6">
                  <c:v>-1029</c:v>
                </c:pt>
                <c:pt idx="7">
                  <c:v>0</c:v>
                </c:pt>
                <c:pt idx="8">
                  <c:v>0</c:v>
                </c:pt>
                <c:pt idx="9">
                  <c:v>0</c:v>
                </c:pt>
                <c:pt idx="10">
                  <c:v>1200</c:v>
                </c:pt>
                <c:pt idx="11">
                  <c:v>0</c:v>
                </c:pt>
                <c:pt idx="12">
                  <c:v>0</c:v>
                </c:pt>
              </c:numCache>
            </c:numRef>
          </c:val>
          <c:smooth val="0"/>
          <c:extLst>
            <c:ext xmlns:c16="http://schemas.microsoft.com/office/drawing/2014/chart" uri="{C3380CC4-5D6E-409C-BE32-E72D297353CC}">
              <c16:uniqueId val="{00000055-CDAB-4793-A1DF-8C5687C3561F}"/>
            </c:ext>
          </c:extLst>
        </c:ser>
        <c:ser>
          <c:idx val="86"/>
          <c:order val="86"/>
          <c:tx>
            <c:strRef>
              <c:f>Balancesheet_Data!$CV$6:$CV$7</c:f>
              <c:strCache>
                <c:ptCount val="1"/>
                <c:pt idx="0">
                  <c:v>540180</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Balancesheet_Data!$CV$8:$CV$21</c:f>
              <c:numCache>
                <c:formatCode>General</c:formatCode>
                <c:ptCount val="13"/>
                <c:pt idx="2">
                  <c:v>392</c:v>
                </c:pt>
                <c:pt idx="3">
                  <c:v>83</c:v>
                </c:pt>
                <c:pt idx="4">
                  <c:v>-338</c:v>
                </c:pt>
                <c:pt idx="5">
                  <c:v>138</c:v>
                </c:pt>
                <c:pt idx="6">
                  <c:v>439</c:v>
                </c:pt>
                <c:pt idx="7">
                  <c:v>154</c:v>
                </c:pt>
                <c:pt idx="8">
                  <c:v>609</c:v>
                </c:pt>
                <c:pt idx="9">
                  <c:v>-201</c:v>
                </c:pt>
                <c:pt idx="10">
                  <c:v>171</c:v>
                </c:pt>
                <c:pt idx="11">
                  <c:v>497</c:v>
                </c:pt>
              </c:numCache>
            </c:numRef>
          </c:val>
          <c:smooth val="0"/>
          <c:extLst>
            <c:ext xmlns:c16="http://schemas.microsoft.com/office/drawing/2014/chart" uri="{C3380CC4-5D6E-409C-BE32-E72D297353CC}">
              <c16:uniqueId val="{00000056-CDAB-4793-A1DF-8C5687C3561F}"/>
            </c:ext>
          </c:extLst>
        </c:ser>
        <c:ser>
          <c:idx val="87"/>
          <c:order val="87"/>
          <c:tx>
            <c:strRef>
              <c:f>Balancesheet_Data!$CW$6:$CW$7</c:f>
              <c:strCache>
                <c:ptCount val="1"/>
                <c:pt idx="0">
                  <c:v>540376</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Balancesheet_Data!$CW$8:$CW$21</c:f>
              <c:numCache>
                <c:formatCode>General</c:formatCode>
                <c:ptCount val="13"/>
                <c:pt idx="2">
                  <c:v>145</c:v>
                </c:pt>
                <c:pt idx="3">
                  <c:v>115</c:v>
                </c:pt>
                <c:pt idx="4">
                  <c:v>263</c:v>
                </c:pt>
                <c:pt idx="5">
                  <c:v>288</c:v>
                </c:pt>
                <c:pt idx="6">
                  <c:v>305</c:v>
                </c:pt>
                <c:pt idx="7">
                  <c:v>-1058</c:v>
                </c:pt>
                <c:pt idx="8">
                  <c:v>261</c:v>
                </c:pt>
                <c:pt idx="9">
                  <c:v>-367</c:v>
                </c:pt>
                <c:pt idx="10">
                  <c:v>60</c:v>
                </c:pt>
                <c:pt idx="11">
                  <c:v>254</c:v>
                </c:pt>
                <c:pt idx="12">
                  <c:v>-4</c:v>
                </c:pt>
              </c:numCache>
            </c:numRef>
          </c:val>
          <c:smooth val="0"/>
          <c:extLst>
            <c:ext xmlns:c16="http://schemas.microsoft.com/office/drawing/2014/chart" uri="{C3380CC4-5D6E-409C-BE32-E72D297353CC}">
              <c16:uniqueId val="{00000057-CDAB-4793-A1DF-8C5687C3561F}"/>
            </c:ext>
          </c:extLst>
        </c:ser>
        <c:ser>
          <c:idx val="88"/>
          <c:order val="88"/>
          <c:tx>
            <c:strRef>
              <c:f>Balancesheet_Data!$CX$6:$CX$7</c:f>
              <c:strCache>
                <c:ptCount val="1"/>
                <c:pt idx="0">
                  <c:v>540716</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Balancesheet_Data!$CX$8:$CX$21</c:f>
              <c:numCache>
                <c:formatCode>General</c:formatCode>
                <c:ptCount val="13"/>
                <c:pt idx="2">
                  <c:v>0</c:v>
                </c:pt>
                <c:pt idx="3">
                  <c:v>0</c:v>
                </c:pt>
                <c:pt idx="4">
                  <c:v>0</c:v>
                </c:pt>
                <c:pt idx="5">
                  <c:v>0</c:v>
                </c:pt>
                <c:pt idx="6">
                  <c:v>485</c:v>
                </c:pt>
                <c:pt idx="7">
                  <c:v>0</c:v>
                </c:pt>
                <c:pt idx="8">
                  <c:v>0</c:v>
                </c:pt>
                <c:pt idx="9">
                  <c:v>0</c:v>
                </c:pt>
                <c:pt idx="10">
                  <c:v>0</c:v>
                </c:pt>
                <c:pt idx="11">
                  <c:v>-230</c:v>
                </c:pt>
                <c:pt idx="12">
                  <c:v>-220</c:v>
                </c:pt>
              </c:numCache>
            </c:numRef>
          </c:val>
          <c:smooth val="0"/>
          <c:extLst>
            <c:ext xmlns:c16="http://schemas.microsoft.com/office/drawing/2014/chart" uri="{C3380CC4-5D6E-409C-BE32-E72D297353CC}">
              <c16:uniqueId val="{00000058-CDAB-4793-A1DF-8C5687C3561F}"/>
            </c:ext>
          </c:extLst>
        </c:ser>
        <c:ser>
          <c:idx val="89"/>
          <c:order val="89"/>
          <c:tx>
            <c:strRef>
              <c:f>Balancesheet_Data!$CY$6:$CY$7</c:f>
              <c:strCache>
                <c:ptCount val="1"/>
                <c:pt idx="0">
                  <c:v>540719</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Balancesheet_Data!$CY$8:$CY$21</c:f>
              <c:numCache>
                <c:formatCode>General</c:formatCode>
                <c:ptCount val="13"/>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59-CDAB-4793-A1DF-8C5687C3561F}"/>
            </c:ext>
          </c:extLst>
        </c:ser>
        <c:ser>
          <c:idx val="90"/>
          <c:order val="90"/>
          <c:tx>
            <c:strRef>
              <c:f>Balancesheet_Data!$CZ$6:$CZ$7</c:f>
              <c:strCache>
                <c:ptCount val="1"/>
                <c:pt idx="0">
                  <c:v>540777</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Balancesheet_Data!$CZ$8:$CZ$21</c:f>
              <c:numCache>
                <c:formatCode>General</c:formatCode>
                <c:ptCount val="13"/>
                <c:pt idx="3">
                  <c:v>0</c:v>
                </c:pt>
                <c:pt idx="4">
                  <c:v>0</c:v>
                </c:pt>
                <c:pt idx="5">
                  <c:v>0</c:v>
                </c:pt>
                <c:pt idx="6">
                  <c:v>0</c:v>
                </c:pt>
                <c:pt idx="7">
                  <c:v>0</c:v>
                </c:pt>
                <c:pt idx="8">
                  <c:v>0</c:v>
                </c:pt>
                <c:pt idx="9">
                  <c:v>0</c:v>
                </c:pt>
                <c:pt idx="10">
                  <c:v>600</c:v>
                </c:pt>
                <c:pt idx="11">
                  <c:v>0</c:v>
                </c:pt>
                <c:pt idx="12">
                  <c:v>350</c:v>
                </c:pt>
              </c:numCache>
            </c:numRef>
          </c:val>
          <c:smooth val="0"/>
          <c:extLst>
            <c:ext xmlns:c16="http://schemas.microsoft.com/office/drawing/2014/chart" uri="{C3380CC4-5D6E-409C-BE32-E72D297353CC}">
              <c16:uniqueId val="{0000005A-CDAB-4793-A1DF-8C5687C3561F}"/>
            </c:ext>
          </c:extLst>
        </c:ser>
        <c:ser>
          <c:idx val="91"/>
          <c:order val="91"/>
          <c:tx>
            <c:strRef>
              <c:f>Balancesheet_Data!$DA$6:$DA$7</c:f>
              <c:strCache>
                <c:ptCount val="1"/>
                <c:pt idx="0">
                  <c:v>541154</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Balancesheet_Data!$DA$8:$DA$21</c:f>
              <c:numCache>
                <c:formatCode>General</c:formatCode>
                <c:ptCount val="13"/>
                <c:pt idx="2">
                  <c:v>0</c:v>
                </c:pt>
                <c:pt idx="3">
                  <c:v>679</c:v>
                </c:pt>
                <c:pt idx="4">
                  <c:v>-679</c:v>
                </c:pt>
                <c:pt idx="5">
                  <c:v>75</c:v>
                </c:pt>
                <c:pt idx="6">
                  <c:v>942</c:v>
                </c:pt>
                <c:pt idx="7">
                  <c:v>-117</c:v>
                </c:pt>
                <c:pt idx="8">
                  <c:v>3252</c:v>
                </c:pt>
                <c:pt idx="9">
                  <c:v>1770</c:v>
                </c:pt>
                <c:pt idx="10">
                  <c:v>-5874</c:v>
                </c:pt>
                <c:pt idx="11">
                  <c:v>-4</c:v>
                </c:pt>
                <c:pt idx="12">
                  <c:v>-47</c:v>
                </c:pt>
              </c:numCache>
            </c:numRef>
          </c:val>
          <c:smooth val="0"/>
          <c:extLst>
            <c:ext xmlns:c16="http://schemas.microsoft.com/office/drawing/2014/chart" uri="{C3380CC4-5D6E-409C-BE32-E72D297353CC}">
              <c16:uniqueId val="{0000005B-CDAB-4793-A1DF-8C5687C3561F}"/>
            </c:ext>
          </c:extLst>
        </c:ser>
        <c:ser>
          <c:idx val="92"/>
          <c:order val="92"/>
          <c:tx>
            <c:strRef>
              <c:f>Balancesheet_Data!$DB$6:$DB$7</c:f>
              <c:strCache>
                <c:ptCount val="1"/>
                <c:pt idx="0">
                  <c:v>541450</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Balancesheet_Data!$DB$8:$DB$21</c:f>
              <c:numCache>
                <c:formatCode>General</c:formatCode>
                <c:ptCount val="13"/>
                <c:pt idx="7">
                  <c:v>5517</c:v>
                </c:pt>
                <c:pt idx="8">
                  <c:v>1278</c:v>
                </c:pt>
                <c:pt idx="9">
                  <c:v>3725</c:v>
                </c:pt>
                <c:pt idx="10">
                  <c:v>9342</c:v>
                </c:pt>
                <c:pt idx="11">
                  <c:v>28623</c:v>
                </c:pt>
                <c:pt idx="12">
                  <c:v>1391</c:v>
                </c:pt>
              </c:numCache>
            </c:numRef>
          </c:val>
          <c:smooth val="0"/>
          <c:extLst>
            <c:ext xmlns:c16="http://schemas.microsoft.com/office/drawing/2014/chart" uri="{C3380CC4-5D6E-409C-BE32-E72D297353CC}">
              <c16:uniqueId val="{0000005C-CDAB-4793-A1DF-8C5687C3561F}"/>
            </c:ext>
          </c:extLst>
        </c:ser>
        <c:ser>
          <c:idx val="93"/>
          <c:order val="93"/>
          <c:tx>
            <c:strRef>
              <c:f>Balancesheet_Data!$DC$6:$DC$7</c:f>
              <c:strCache>
                <c:ptCount val="1"/>
                <c:pt idx="0">
                  <c:v>542066</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Balancesheet_Data!$DC$8:$DC$21</c:f>
              <c:numCache>
                <c:formatCode>General</c:formatCode>
                <c:ptCount val="13"/>
                <c:pt idx="8">
                  <c:v>-951</c:v>
                </c:pt>
                <c:pt idx="9">
                  <c:v>34</c:v>
                </c:pt>
                <c:pt idx="10">
                  <c:v>101</c:v>
                </c:pt>
                <c:pt idx="11">
                  <c:v>506</c:v>
                </c:pt>
                <c:pt idx="12">
                  <c:v>387</c:v>
                </c:pt>
              </c:numCache>
            </c:numRef>
          </c:val>
          <c:smooth val="0"/>
          <c:extLst>
            <c:ext xmlns:c16="http://schemas.microsoft.com/office/drawing/2014/chart" uri="{C3380CC4-5D6E-409C-BE32-E72D297353CC}">
              <c16:uniqueId val="{0000005D-CDAB-4793-A1DF-8C5687C3561F}"/>
            </c:ext>
          </c:extLst>
        </c:ser>
        <c:ser>
          <c:idx val="94"/>
          <c:order val="94"/>
          <c:tx>
            <c:strRef>
              <c:f>Balancesheet_Data!$DD$6:$DD$7</c:f>
              <c:strCache>
                <c:ptCount val="1"/>
                <c:pt idx="0">
                  <c:v>543066</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Balancesheet_Data!$DD$8:$DD$21</c:f>
              <c:numCache>
                <c:formatCode>General</c:formatCode>
                <c:ptCount val="13"/>
                <c:pt idx="3">
                  <c:v>695</c:v>
                </c:pt>
                <c:pt idx="4">
                  <c:v>1201</c:v>
                </c:pt>
                <c:pt idx="5">
                  <c:v>1229</c:v>
                </c:pt>
                <c:pt idx="6">
                  <c:v>2340</c:v>
                </c:pt>
                <c:pt idx="7">
                  <c:v>3145</c:v>
                </c:pt>
                <c:pt idx="8">
                  <c:v>2136</c:v>
                </c:pt>
                <c:pt idx="9">
                  <c:v>4024</c:v>
                </c:pt>
                <c:pt idx="10">
                  <c:v>322</c:v>
                </c:pt>
                <c:pt idx="11">
                  <c:v>5087</c:v>
                </c:pt>
                <c:pt idx="12">
                  <c:v>8128</c:v>
                </c:pt>
              </c:numCache>
            </c:numRef>
          </c:val>
          <c:smooth val="0"/>
          <c:extLst>
            <c:ext xmlns:c16="http://schemas.microsoft.com/office/drawing/2014/chart" uri="{C3380CC4-5D6E-409C-BE32-E72D297353CC}">
              <c16:uniqueId val="{0000005E-CDAB-4793-A1DF-8C5687C3561F}"/>
            </c:ext>
          </c:extLst>
        </c:ser>
        <c:ser>
          <c:idx val="95"/>
          <c:order val="95"/>
          <c:tx>
            <c:strRef>
              <c:f>Balancesheet_Data!$DE$6:$DE$7</c:f>
              <c:strCache>
                <c:ptCount val="1"/>
                <c:pt idx="0">
                  <c:v>543220</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Balancesheet_Data!$DE$8:$DE$21</c:f>
              <c:numCache>
                <c:formatCode>General</c:formatCode>
                <c:ptCount val="13"/>
                <c:pt idx="7">
                  <c:v>107</c:v>
                </c:pt>
                <c:pt idx="8">
                  <c:v>22</c:v>
                </c:pt>
                <c:pt idx="9">
                  <c:v>-128</c:v>
                </c:pt>
                <c:pt idx="10">
                  <c:v>226</c:v>
                </c:pt>
                <c:pt idx="11">
                  <c:v>-188</c:v>
                </c:pt>
                <c:pt idx="12">
                  <c:v>-224</c:v>
                </c:pt>
              </c:numCache>
            </c:numRef>
          </c:val>
          <c:smooth val="0"/>
          <c:extLst>
            <c:ext xmlns:c16="http://schemas.microsoft.com/office/drawing/2014/chart" uri="{C3380CC4-5D6E-409C-BE32-E72D297353CC}">
              <c16:uniqueId val="{0000005F-CDAB-4793-A1DF-8C5687C3561F}"/>
            </c:ext>
          </c:extLst>
        </c:ser>
        <c:ser>
          <c:idx val="96"/>
          <c:order val="96"/>
          <c:tx>
            <c:strRef>
              <c:f>Balancesheet_Data!$DF$6:$DF$7</c:f>
              <c:strCache>
                <c:ptCount val="1"/>
                <c:pt idx="0">
                  <c:v>543320</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Balancesheet_Data!$DF$8:$DF$21</c:f>
              <c:numCache>
                <c:formatCode>General</c:formatCode>
                <c:ptCount val="13"/>
                <c:pt idx="8">
                  <c:v>92</c:v>
                </c:pt>
                <c:pt idx="9">
                  <c:v>-31</c:v>
                </c:pt>
                <c:pt idx="10">
                  <c:v>-1</c:v>
                </c:pt>
                <c:pt idx="11">
                  <c:v>-2</c:v>
                </c:pt>
                <c:pt idx="12">
                  <c:v>437</c:v>
                </c:pt>
              </c:numCache>
            </c:numRef>
          </c:val>
          <c:smooth val="0"/>
          <c:extLst>
            <c:ext xmlns:c16="http://schemas.microsoft.com/office/drawing/2014/chart" uri="{C3380CC4-5D6E-409C-BE32-E72D297353CC}">
              <c16:uniqueId val="{00000060-CDAB-4793-A1DF-8C5687C3561F}"/>
            </c:ext>
          </c:extLst>
        </c:ser>
        <c:ser>
          <c:idx val="97"/>
          <c:order val="97"/>
          <c:tx>
            <c:strRef>
              <c:f>Balancesheet_Data!$DG$6:$DG$7</c:f>
              <c:strCache>
                <c:ptCount val="1"/>
                <c:pt idx="0">
                  <c:v>543458</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Balancesheet_Data!$DG$8:$DG$21</c:f>
              <c:numCache>
                <c:formatCode>General</c:formatCode>
                <c:ptCount val="13"/>
                <c:pt idx="6">
                  <c:v>674</c:v>
                </c:pt>
                <c:pt idx="7">
                  <c:v>-378</c:v>
                </c:pt>
                <c:pt idx="8">
                  <c:v>-415</c:v>
                </c:pt>
                <c:pt idx="9">
                  <c:v>471</c:v>
                </c:pt>
                <c:pt idx="10">
                  <c:v>751</c:v>
                </c:pt>
                <c:pt idx="11">
                  <c:v>-425</c:v>
                </c:pt>
                <c:pt idx="12">
                  <c:v>-367</c:v>
                </c:pt>
              </c:numCache>
            </c:numRef>
          </c:val>
          <c:smooth val="0"/>
          <c:extLst>
            <c:ext xmlns:c16="http://schemas.microsoft.com/office/drawing/2014/chart" uri="{C3380CC4-5D6E-409C-BE32-E72D297353CC}">
              <c16:uniqueId val="{00000061-CDAB-4793-A1DF-8C5687C3561F}"/>
            </c:ext>
          </c:extLst>
        </c:ser>
        <c:ser>
          <c:idx val="98"/>
          <c:order val="98"/>
          <c:tx>
            <c:strRef>
              <c:f>Balancesheet_Data!$DH$6:$DH$7</c:f>
              <c:strCache>
                <c:ptCount val="1"/>
                <c:pt idx="0">
                  <c:v>543526</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Balancesheet_Data!$M$8:$M$21</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Balancesheet_Data!$DH$8:$DH$21</c:f>
              <c:numCache>
                <c:formatCode>General</c:formatCode>
                <c:ptCount val="13"/>
                <c:pt idx="7">
                  <c:v>0</c:v>
                </c:pt>
                <c:pt idx="8">
                  <c:v>0</c:v>
                </c:pt>
                <c:pt idx="9">
                  <c:v>0</c:v>
                </c:pt>
                <c:pt idx="10">
                  <c:v>0</c:v>
                </c:pt>
                <c:pt idx="11">
                  <c:v>0</c:v>
                </c:pt>
                <c:pt idx="12">
                  <c:v>0</c:v>
                </c:pt>
              </c:numCache>
            </c:numRef>
          </c:val>
          <c:smooth val="0"/>
          <c:extLst>
            <c:ext xmlns:c16="http://schemas.microsoft.com/office/drawing/2014/chart" uri="{C3380CC4-5D6E-409C-BE32-E72D297353CC}">
              <c16:uniqueId val="{00000062-CDAB-4793-A1DF-8C5687C3561F}"/>
            </c:ext>
          </c:extLst>
        </c:ser>
        <c:dLbls>
          <c:showLegendKey val="0"/>
          <c:showVal val="0"/>
          <c:showCatName val="0"/>
          <c:showSerName val="0"/>
          <c:showPercent val="0"/>
          <c:showBubbleSize val="0"/>
        </c:dLbls>
        <c:marker val="1"/>
        <c:smooth val="0"/>
        <c:axId val="1912878096"/>
        <c:axId val="1893691408"/>
      </c:lineChart>
      <c:catAx>
        <c:axId val="19128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91408"/>
        <c:crosses val="autoZero"/>
        <c:auto val="1"/>
        <c:lblAlgn val="ctr"/>
        <c:lblOffset val="100"/>
        <c:noMultiLvlLbl val="0"/>
      </c:catAx>
      <c:valAx>
        <c:axId val="18936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8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19</xdr:row>
      <xdr:rowOff>0</xdr:rowOff>
    </xdr:to>
    <xdr:graphicFrame macro="">
      <xdr:nvGraphicFramePr>
        <xdr:cNvPr id="3" name="Chart 2">
          <a:extLst>
            <a:ext uri="{FF2B5EF4-FFF2-40B4-BE49-F238E27FC236}">
              <a16:creationId xmlns:a16="http://schemas.microsoft.com/office/drawing/2014/main" id="{B9A75891-885D-4029-B969-270EADF97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0</xdr:rowOff>
    </xdr:from>
    <xdr:to>
      <xdr:col>17</xdr:col>
      <xdr:colOff>304800</xdr:colOff>
      <xdr:row>19</xdr:row>
      <xdr:rowOff>0</xdr:rowOff>
    </xdr:to>
    <xdr:graphicFrame macro="">
      <xdr:nvGraphicFramePr>
        <xdr:cNvPr id="4" name="Chart 3">
          <a:extLst>
            <a:ext uri="{FF2B5EF4-FFF2-40B4-BE49-F238E27FC236}">
              <a16:creationId xmlns:a16="http://schemas.microsoft.com/office/drawing/2014/main" id="{10A8B345-53B9-47D5-8F14-E57D025C2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0</xdr:colOff>
      <xdr:row>4</xdr:row>
      <xdr:rowOff>0</xdr:rowOff>
    </xdr:from>
    <xdr:to>
      <xdr:col>22</xdr:col>
      <xdr:colOff>0</xdr:colOff>
      <xdr:row>17</xdr:row>
      <xdr:rowOff>89535</xdr:rowOff>
    </xdr:to>
    <mc:AlternateContent xmlns:mc="http://schemas.openxmlformats.org/markup-compatibility/2006">
      <mc:Choice xmlns:sle15="http://schemas.microsoft.com/office/drawing/2012/slicer" Requires="sle15">
        <xdr:graphicFrame macro="">
          <xdr:nvGraphicFramePr>
            <xdr:cNvPr id="5" name="MarketSentiment">
              <a:extLst>
                <a:ext uri="{FF2B5EF4-FFF2-40B4-BE49-F238E27FC236}">
                  <a16:creationId xmlns:a16="http://schemas.microsoft.com/office/drawing/2014/main" id="{7706390E-3FD2-457E-A352-51BFBB02B539}"/>
                </a:ext>
              </a:extLst>
            </xdr:cNvPr>
            <xdr:cNvGraphicFramePr/>
          </xdr:nvGraphicFramePr>
          <xdr:xfrm>
            <a:off x="0" y="0"/>
            <a:ext cx="0" cy="0"/>
          </xdr:xfrm>
          <a:graphic>
            <a:graphicData uri="http://schemas.microsoft.com/office/drawing/2010/slicer">
              <sle:slicer xmlns:sle="http://schemas.microsoft.com/office/drawing/2010/slicer" name="MarketSentiment"/>
            </a:graphicData>
          </a:graphic>
        </xdr:graphicFrame>
      </mc:Choice>
      <mc:Fallback>
        <xdr:sp macro="" textlink="">
          <xdr:nvSpPr>
            <xdr:cNvPr id="0" name=""/>
            <xdr:cNvSpPr>
              <a:spLocks noTextEdit="1"/>
            </xdr:cNvSpPr>
          </xdr:nvSpPr>
          <xdr:spPr>
            <a:xfrm>
              <a:off x="1158240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21</xdr:row>
      <xdr:rowOff>0</xdr:rowOff>
    </xdr:from>
    <xdr:to>
      <xdr:col>10</xdr:col>
      <xdr:colOff>563880</xdr:colOff>
      <xdr:row>39</xdr:row>
      <xdr:rowOff>144780</xdr:rowOff>
    </xdr:to>
    <xdr:graphicFrame macro="">
      <xdr:nvGraphicFramePr>
        <xdr:cNvPr id="6" name="Chart 5">
          <a:extLst>
            <a:ext uri="{FF2B5EF4-FFF2-40B4-BE49-F238E27FC236}">
              <a16:creationId xmlns:a16="http://schemas.microsoft.com/office/drawing/2014/main" id="{1F9A7C1B-A268-4D44-95E0-37F844A24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20</xdr:row>
      <xdr:rowOff>160020</xdr:rowOff>
    </xdr:from>
    <xdr:to>
      <xdr:col>22</xdr:col>
      <xdr:colOff>0</xdr:colOff>
      <xdr:row>40</xdr:row>
      <xdr:rowOff>30480</xdr:rowOff>
    </xdr:to>
    <xdr:graphicFrame macro="">
      <xdr:nvGraphicFramePr>
        <xdr:cNvPr id="7" name="Chart 6">
          <a:extLst>
            <a:ext uri="{FF2B5EF4-FFF2-40B4-BE49-F238E27FC236}">
              <a16:creationId xmlns:a16="http://schemas.microsoft.com/office/drawing/2014/main" id="{A7268B97-1C08-43B4-A1F9-DBB350A64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shan" refreshedDate="46287.018318402777" createdVersion="8" refreshedVersion="8" minRefreshableVersion="3" recordCount="1043" xr:uid="{72584BEA-A25B-4B8A-8BB8-6C5485B9565B}">
  <cacheSource type="worksheet">
    <worksheetSource ref="A1:F1044" sheet="Balancesheet_Data"/>
  </cacheSource>
  <cacheFields count="9">
    <cacheField name="ScripCode" numFmtId="0">
      <sharedItems containsSemiMixedTypes="0" containsString="0" containsNumber="1" containsInteger="1" minValue="500002" maxValue="543526" count="99">
        <n v="500002"/>
        <n v="500010"/>
        <n v="500034"/>
        <n v="500049"/>
        <n v="500087"/>
        <n v="500093"/>
        <n v="500096"/>
        <n v="500112"/>
        <n v="500114"/>
        <n v="500116"/>
        <n v="500124"/>
        <n v="500180"/>
        <n v="500182"/>
        <n v="500188"/>
        <n v="500209"/>
        <n v="500228"/>
        <n v="500247"/>
        <n v="500251"/>
        <n v="500295"/>
        <n v="500300"/>
        <n v="500312"/>
        <n v="500325"/>
        <n v="500331"/>
        <n v="500387"/>
        <n v="500400"/>
        <n v="500420"/>
        <n v="500425"/>
        <n v="500440"/>
        <n v="500470"/>
        <n v="500490"/>
        <n v="500510"/>
        <n v="500520"/>
        <n v="500530"/>
        <n v="500547"/>
        <n v="500550"/>
        <n v="500570"/>
        <n v="500696"/>
        <n v="500790"/>
        <n v="500800"/>
        <n v="500820"/>
        <n v="500825"/>
        <n v="500850"/>
        <n v="500875"/>
        <n v="503806"/>
        <n v="505200"/>
        <n v="507685"/>
        <n v="508869"/>
        <n v="509480"/>
        <n v="511243"/>
        <n v="512070"/>
        <n v="512599"/>
        <n v="517334"/>
        <n v="517354"/>
        <n v="524715"/>
        <n v="530965"/>
        <n v="531642"/>
        <n v="532134"/>
        <n v="532155"/>
        <n v="532174"/>
        <n v="532187"/>
        <n v="532215"/>
        <n v="532281"/>
        <n v="532286"/>
        <n v="532343"/>
        <n v="532424"/>
        <n v="532432"/>
        <n v="532454"/>
        <n v="532461"/>
        <n v="532483"/>
        <n v="532488"/>
        <n v="532500"/>
        <n v="532538"/>
        <n v="532540"/>
        <n v="532555"/>
        <n v="532755"/>
        <n v="532868"/>
        <n v="532898"/>
        <n v="532921"/>
        <n v="532977"/>
        <n v="532978"/>
        <n v="533096"/>
        <n v="533278"/>
        <n v="539254"/>
        <n v="539448"/>
        <n v="540005"/>
        <n v="540133"/>
        <n v="540180"/>
        <n v="540376"/>
        <n v="540716"/>
        <n v="540719"/>
        <n v="540777"/>
        <n v="541154"/>
        <n v="541450"/>
        <n v="542066"/>
        <n v="543066"/>
        <n v="543220"/>
        <n v="543320"/>
        <n v="543458"/>
        <n v="543526"/>
      </sharedItems>
    </cacheField>
    <cacheField name="FinancialPeriod" numFmtId="17">
      <sharedItems containsSemiMixedTypes="0" containsNonDate="0" containsDate="1" containsString="0" minDate="2011-09-01T00:00:00" maxDate="2023-03-02T00:00:00" count="39">
        <d v="2012-12-01T00:00:00"/>
        <d v="2013-12-01T00:00:00"/>
        <d v="2014-12-01T00:00:00"/>
        <d v="2015-12-01T00:00:00"/>
        <d v="2016-12-01T00:00:00"/>
        <d v="2017-12-01T00:00:00"/>
        <d v="2018-12-01T00:00:00"/>
        <d v="2019-12-01T00:00:00"/>
        <d v="2020-12-01T00:00:00"/>
        <d v="2021-12-01T00:00:00"/>
        <d v="2022-12-01T00:00:00"/>
        <d v="2013-03-01T00:00:00"/>
        <d v="2014-03-01T00:00:00"/>
        <d v="2015-03-01T00:00:00"/>
        <d v="2016-03-01T00:00:00"/>
        <d v="2017-03-01T00:00:00"/>
        <d v="2018-03-01T00:00:00"/>
        <d v="2019-03-01T00:00:00"/>
        <d v="2020-03-01T00:00:00"/>
        <d v="2021-03-01T00:00:00"/>
        <d v="2022-03-01T00:00:00"/>
        <d v="2023-03-01T00:00:00"/>
        <d v="2012-03-01T00:00:00"/>
        <d v="2022-09-01T00:00:00"/>
        <d v="2013-06-01T00:00:00"/>
        <d v="2014-06-01T00:00:00"/>
        <d v="2015-06-01T00:00:00"/>
        <d v="2022-06-01T00:00:00"/>
        <d v="2011-09-01T00:00:00"/>
        <d v="2012-09-01T00:00:00"/>
        <d v="2013-09-01T00:00:00"/>
        <d v="2014-09-01T00:00:00"/>
        <d v="2015-09-01T00:00:00"/>
        <d v="2016-09-01T00:00:00"/>
        <d v="2017-09-01T00:00:00"/>
        <d v="2018-09-01T00:00:00"/>
        <d v="2019-09-01T00:00:00"/>
        <d v="2020-09-01T00:00:00"/>
        <d v="2021-09-01T00:00:00"/>
      </sharedItems>
      <fieldGroup par="8"/>
    </cacheField>
    <cacheField name="CurrentBorrowings" numFmtId="0">
      <sharedItems containsSemiMixedTypes="0" containsString="0" containsNumber="1" containsInteger="1" minValue="0" maxValue="4536570"/>
    </cacheField>
    <cacheField name="PreviousBorrowings" numFmtId="0">
      <sharedItems containsSemiMixedTypes="0" containsString="0" containsNumber="1" containsInteger="1" minValue="0" maxValue="4149127"/>
    </cacheField>
    <cacheField name="BorrowingChange" numFmtId="0">
      <sharedItems containsSemiMixedTypes="0" containsString="0" containsNumber="1" containsInteger="1" minValue="-76171" maxValue="542066"/>
    </cacheField>
    <cacheField name="YoY_Growth_Pct" numFmtId="0">
      <sharedItems containsMixedTypes="1" containsNumber="1" minValue="-100" maxValue="13580"/>
    </cacheField>
    <cacheField name="Months (FinancialPeriod)" numFmtId="0" databaseField="0">
      <fieldGroup base="1">
        <rangePr groupBy="months" startDate="2011-09-01T00:00:00" endDate="2023-03-02T00:00:00"/>
        <groupItems count="14">
          <s v="&lt;01-09-2011"/>
          <s v="Jan"/>
          <s v="Feb"/>
          <s v="Mar"/>
          <s v="Apr"/>
          <s v="May"/>
          <s v="Jun"/>
          <s v="Jul"/>
          <s v="Aug"/>
          <s v="Sep"/>
          <s v="Oct"/>
          <s v="Nov"/>
          <s v="Dec"/>
          <s v="&gt;02-03-2023"/>
        </groupItems>
      </fieldGroup>
    </cacheField>
    <cacheField name="Quarters (FinancialPeriod)" numFmtId="0" databaseField="0">
      <fieldGroup base="1">
        <rangePr groupBy="quarters" startDate="2011-09-01T00:00:00" endDate="2023-03-02T00:00:00"/>
        <groupItems count="6">
          <s v="&lt;01-09-2011"/>
          <s v="Qtr1"/>
          <s v="Qtr2"/>
          <s v="Qtr3"/>
          <s v="Qtr4"/>
          <s v="&gt;02-03-2023"/>
        </groupItems>
      </fieldGroup>
    </cacheField>
    <cacheField name="Years (FinancialPeriod)" numFmtId="0" databaseField="0">
      <fieldGroup base="1">
        <rangePr groupBy="years" startDate="2011-09-01T00:00:00" endDate="2023-03-02T00:00:00"/>
        <groupItems count="15">
          <s v="&lt;01-09-2011"/>
          <s v="2011"/>
          <s v="2012"/>
          <s v="2013"/>
          <s v="2014"/>
          <s v="2015"/>
          <s v="2016"/>
          <s v="2017"/>
          <s v="2018"/>
          <s v="2019"/>
          <s v="2020"/>
          <s v="2021"/>
          <s v="2022"/>
          <s v="2023"/>
          <s v="&gt;02-03-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3">
  <r>
    <x v="0"/>
    <x v="0"/>
    <n v="328"/>
    <n v="0"/>
    <n v="328"/>
    <s v="NULL"/>
  </r>
  <r>
    <x v="0"/>
    <x v="1"/>
    <n v="620"/>
    <n v="328"/>
    <n v="292"/>
    <n v="89.02"/>
  </r>
  <r>
    <x v="0"/>
    <x v="2"/>
    <n v="371"/>
    <n v="620"/>
    <n v="-249"/>
    <n v="-40.159999999999997"/>
  </r>
  <r>
    <x v="0"/>
    <x v="3"/>
    <n v="600"/>
    <n v="371"/>
    <n v="229"/>
    <n v="61.73"/>
  </r>
  <r>
    <x v="0"/>
    <x v="4"/>
    <n v="600"/>
    <n v="600"/>
    <n v="0"/>
    <n v="0"/>
  </r>
  <r>
    <x v="0"/>
    <x v="5"/>
    <n v="608"/>
    <n v="600"/>
    <n v="8"/>
    <n v="1.33"/>
  </r>
  <r>
    <x v="0"/>
    <x v="6"/>
    <n v="7"/>
    <n v="608"/>
    <n v="-601"/>
    <n v="-98.85"/>
  </r>
  <r>
    <x v="0"/>
    <x v="7"/>
    <n v="14"/>
    <n v="7"/>
    <n v="7"/>
    <n v="100"/>
  </r>
  <r>
    <x v="0"/>
    <x v="8"/>
    <n v="58"/>
    <n v="14"/>
    <n v="44"/>
    <n v="314.29000000000002"/>
  </r>
  <r>
    <x v="0"/>
    <x v="9"/>
    <n v="37"/>
    <n v="58"/>
    <n v="-21"/>
    <n v="-36.21"/>
  </r>
  <r>
    <x v="0"/>
    <x v="10"/>
    <n v="33"/>
    <n v="37"/>
    <n v="-4"/>
    <n v="-10.81"/>
  </r>
  <r>
    <x v="1"/>
    <x v="11"/>
    <n v="163663"/>
    <n v="142479"/>
    <n v="21184"/>
    <n v="14.87"/>
  </r>
  <r>
    <x v="1"/>
    <x v="12"/>
    <n v="190602"/>
    <n v="163663"/>
    <n v="26939"/>
    <n v="16.46"/>
  </r>
  <r>
    <x v="1"/>
    <x v="13"/>
    <n v="217357"/>
    <n v="190602"/>
    <n v="26755"/>
    <n v="14.04"/>
  </r>
  <r>
    <x v="1"/>
    <x v="14"/>
    <n v="249418"/>
    <n v="217357"/>
    <n v="32061"/>
    <n v="14.75"/>
  </r>
  <r>
    <x v="1"/>
    <x v="15"/>
    <n v="293795"/>
    <n v="249418"/>
    <n v="44377"/>
    <n v="17.79"/>
  </r>
  <r>
    <x v="1"/>
    <x v="16"/>
    <n v="336416"/>
    <n v="293795"/>
    <n v="42621"/>
    <n v="14.51"/>
  </r>
  <r>
    <x v="1"/>
    <x v="17"/>
    <n v="386755"/>
    <n v="336416"/>
    <n v="50339"/>
    <n v="14.96"/>
  </r>
  <r>
    <x v="1"/>
    <x v="18"/>
    <n v="425368"/>
    <n v="386755"/>
    <n v="38613"/>
    <n v="9.98"/>
  </r>
  <r>
    <x v="1"/>
    <x v="19"/>
    <n v="447011"/>
    <n v="425368"/>
    <n v="21643"/>
    <n v="5.09"/>
  </r>
  <r>
    <x v="1"/>
    <x v="20"/>
    <n v="507460"/>
    <n v="447011"/>
    <n v="60449"/>
    <n v="13.52"/>
  </r>
  <r>
    <x v="1"/>
    <x v="21"/>
    <n v="582265"/>
    <n v="507460"/>
    <n v="74805"/>
    <n v="14.74"/>
  </r>
  <r>
    <x v="2"/>
    <x v="14"/>
    <n v="37025"/>
    <n v="26655"/>
    <n v="10370"/>
    <n v="38.9"/>
  </r>
  <r>
    <x v="2"/>
    <x v="15"/>
    <n v="49250"/>
    <n v="37025"/>
    <n v="12225"/>
    <n v="33.020000000000003"/>
  </r>
  <r>
    <x v="2"/>
    <x v="16"/>
    <n v="66557"/>
    <n v="49250"/>
    <n v="17307"/>
    <n v="35.14"/>
  </r>
  <r>
    <x v="2"/>
    <x v="17"/>
    <n v="101588"/>
    <n v="66557"/>
    <n v="35031"/>
    <n v="52.63"/>
  </r>
  <r>
    <x v="2"/>
    <x v="18"/>
    <n v="129806"/>
    <n v="101588"/>
    <n v="28218"/>
    <n v="27.78"/>
  </r>
  <r>
    <x v="2"/>
    <x v="19"/>
    <n v="131634"/>
    <n v="129806"/>
    <n v="1828"/>
    <n v="1.41"/>
  </r>
  <r>
    <x v="2"/>
    <x v="20"/>
    <n v="165232"/>
    <n v="131634"/>
    <n v="33598"/>
    <n v="25.52"/>
  </r>
  <r>
    <x v="2"/>
    <x v="21"/>
    <n v="216690"/>
    <n v="165232"/>
    <n v="51458"/>
    <n v="31.14"/>
  </r>
  <r>
    <x v="3"/>
    <x v="11"/>
    <n v="1"/>
    <n v="1"/>
    <n v="0"/>
    <n v="0"/>
  </r>
  <r>
    <x v="3"/>
    <x v="12"/>
    <n v="0"/>
    <n v="1"/>
    <n v="-1"/>
    <n v="-100"/>
  </r>
  <r>
    <x v="3"/>
    <x v="13"/>
    <n v="25"/>
    <n v="0"/>
    <n v="25"/>
    <s v="NULL"/>
  </r>
  <r>
    <x v="3"/>
    <x v="14"/>
    <n v="28"/>
    <n v="25"/>
    <n v="3"/>
    <n v="12"/>
  </r>
  <r>
    <x v="3"/>
    <x v="15"/>
    <n v="64"/>
    <n v="28"/>
    <n v="36"/>
    <n v="128.57"/>
  </r>
  <r>
    <x v="3"/>
    <x v="16"/>
    <n v="80"/>
    <n v="64"/>
    <n v="16"/>
    <n v="25"/>
  </r>
  <r>
    <x v="3"/>
    <x v="17"/>
    <n v="34"/>
    <n v="80"/>
    <n v="-46"/>
    <n v="-57.5"/>
  </r>
  <r>
    <x v="3"/>
    <x v="18"/>
    <n v="8"/>
    <n v="34"/>
    <n v="-26"/>
    <n v="-76.47"/>
  </r>
  <r>
    <x v="3"/>
    <x v="19"/>
    <n v="3"/>
    <n v="8"/>
    <n v="-5"/>
    <n v="-62.5"/>
  </r>
  <r>
    <x v="3"/>
    <x v="20"/>
    <n v="53"/>
    <n v="3"/>
    <n v="50"/>
    <n v="1666.67"/>
  </r>
  <r>
    <x v="3"/>
    <x v="21"/>
    <n v="0"/>
    <n v="53"/>
    <n v="-53"/>
    <n v="-100"/>
  </r>
  <r>
    <x v="4"/>
    <x v="11"/>
    <n v="967"/>
    <n v="29"/>
    <n v="938"/>
    <n v="3234.48"/>
  </r>
  <r>
    <x v="4"/>
    <x v="12"/>
    <n v="1248"/>
    <n v="967"/>
    <n v="281"/>
    <n v="29.06"/>
  </r>
  <r>
    <x v="4"/>
    <x v="13"/>
    <n v="1703"/>
    <n v="1248"/>
    <n v="455"/>
    <n v="36.46"/>
  </r>
  <r>
    <x v="4"/>
    <x v="14"/>
    <n v="5202"/>
    <n v="1703"/>
    <n v="3499"/>
    <n v="205.46"/>
  </r>
  <r>
    <x v="4"/>
    <x v="15"/>
    <n v="4113"/>
    <n v="5202"/>
    <n v="-1089"/>
    <n v="-20.93"/>
  </r>
  <r>
    <x v="4"/>
    <x v="16"/>
    <n v="4098"/>
    <n v="4113"/>
    <n v="-15"/>
    <n v="-0.36"/>
  </r>
  <r>
    <x v="4"/>
    <x v="17"/>
    <n v="4316"/>
    <n v="4098"/>
    <n v="218"/>
    <n v="5.32"/>
  </r>
  <r>
    <x v="4"/>
    <x v="18"/>
    <n v="2816"/>
    <n v="4316"/>
    <n v="-1500"/>
    <n v="-34.75"/>
  </r>
  <r>
    <x v="4"/>
    <x v="19"/>
    <n v="2014"/>
    <n v="2816"/>
    <n v="-802"/>
    <n v="-28.48"/>
  </r>
  <r>
    <x v="4"/>
    <x v="20"/>
    <n v="1056"/>
    <n v="2014"/>
    <n v="-958"/>
    <n v="-47.57"/>
  </r>
  <r>
    <x v="4"/>
    <x v="21"/>
    <n v="803"/>
    <n v="1056"/>
    <n v="-253"/>
    <n v="-23.96"/>
  </r>
  <r>
    <x v="5"/>
    <x v="11"/>
    <n v="2029"/>
    <n v="1044"/>
    <n v="985"/>
    <n v="94.35"/>
  </r>
  <r>
    <x v="5"/>
    <x v="12"/>
    <n v="2396"/>
    <n v="2029"/>
    <n v="367"/>
    <n v="18.09"/>
  </r>
  <r>
    <x v="5"/>
    <x v="13"/>
    <n v="2092"/>
    <n v="2396"/>
    <n v="-304"/>
    <n v="-12.69"/>
  </r>
  <r>
    <x v="5"/>
    <x v="14"/>
    <n v="1528"/>
    <n v="2092"/>
    <n v="-564"/>
    <n v="-26.96"/>
  </r>
  <r>
    <x v="5"/>
    <x v="15"/>
    <n v="1502"/>
    <n v="1528"/>
    <n v="-26"/>
    <n v="-1.7"/>
  </r>
  <r>
    <x v="5"/>
    <x v="16"/>
    <n v="3041"/>
    <n v="1502"/>
    <n v="1539"/>
    <n v="102.46"/>
  </r>
  <r>
    <x v="5"/>
    <x v="17"/>
    <n v="3297"/>
    <n v="3041"/>
    <n v="256"/>
    <n v="8.42"/>
  </r>
  <r>
    <x v="5"/>
    <x v="18"/>
    <n v="2757"/>
    <n v="3297"/>
    <n v="-540"/>
    <n v="-16.38"/>
  </r>
  <r>
    <x v="5"/>
    <x v="19"/>
    <n v="1484"/>
    <n v="2757"/>
    <n v="-1273"/>
    <n v="-46.17"/>
  </r>
  <r>
    <x v="5"/>
    <x v="20"/>
    <n v="367"/>
    <n v="1484"/>
    <n v="-1117"/>
    <n v="-75.27"/>
  </r>
  <r>
    <x v="5"/>
    <x v="21"/>
    <n v="16"/>
    <n v="367"/>
    <n v="-351"/>
    <n v="-95.64"/>
  </r>
  <r>
    <x v="6"/>
    <x v="11"/>
    <n v="1151"/>
    <n v="1068"/>
    <n v="83"/>
    <n v="7.77"/>
  </r>
  <r>
    <x v="6"/>
    <x v="12"/>
    <n v="708"/>
    <n v="1151"/>
    <n v="-443"/>
    <n v="-38.49"/>
  </r>
  <r>
    <x v="6"/>
    <x v="13"/>
    <n v="734"/>
    <n v="708"/>
    <n v="26"/>
    <n v="3.67"/>
  </r>
  <r>
    <x v="6"/>
    <x v="14"/>
    <n v="805"/>
    <n v="734"/>
    <n v="71"/>
    <n v="9.67"/>
  </r>
  <r>
    <x v="6"/>
    <x v="15"/>
    <n v="975"/>
    <n v="805"/>
    <n v="170"/>
    <n v="21.12"/>
  </r>
  <r>
    <x v="6"/>
    <x v="16"/>
    <n v="938"/>
    <n v="975"/>
    <n v="-37"/>
    <n v="-3.79"/>
  </r>
  <r>
    <x v="6"/>
    <x v="17"/>
    <n v="699"/>
    <n v="938"/>
    <n v="-239"/>
    <n v="-25.48"/>
  </r>
  <r>
    <x v="6"/>
    <x v="18"/>
    <n v="522"/>
    <n v="699"/>
    <n v="-177"/>
    <n v="-25.32"/>
  </r>
  <r>
    <x v="6"/>
    <x v="19"/>
    <n v="509"/>
    <n v="522"/>
    <n v="-13"/>
    <n v="-2.4900000000000002"/>
  </r>
  <r>
    <x v="6"/>
    <x v="20"/>
    <n v="1030"/>
    <n v="509"/>
    <n v="521"/>
    <n v="102.36"/>
  </r>
  <r>
    <x v="6"/>
    <x v="21"/>
    <n v="1174"/>
    <n v="1030"/>
    <n v="144"/>
    <n v="13.98"/>
  </r>
  <r>
    <x v="7"/>
    <x v="11"/>
    <n v="1831126"/>
    <n v="1572681"/>
    <n v="258445"/>
    <n v="16.43"/>
  </r>
  <r>
    <x v="7"/>
    <x v="12"/>
    <n v="2062612"/>
    <n v="1831126"/>
    <n v="231486"/>
    <n v="12.64"/>
  </r>
  <r>
    <x v="7"/>
    <x v="13"/>
    <n v="2297624"/>
    <n v="2062612"/>
    <n v="235012"/>
    <n v="11.39"/>
  </r>
  <r>
    <x v="7"/>
    <x v="14"/>
    <n v="2615257"/>
    <n v="2297624"/>
    <n v="317633"/>
    <n v="13.82"/>
  </r>
  <r>
    <x v="7"/>
    <x v="15"/>
    <n v="2936176"/>
    <n v="2615257"/>
    <n v="320919"/>
    <n v="12.27"/>
  </r>
  <r>
    <x v="7"/>
    <x v="16"/>
    <n v="3091258"/>
    <n v="2936176"/>
    <n v="155082"/>
    <n v="5.28"/>
  </r>
  <r>
    <x v="7"/>
    <x v="17"/>
    <n v="3354289"/>
    <n v="3091258"/>
    <n v="263031"/>
    <n v="8.51"/>
  </r>
  <r>
    <x v="7"/>
    <x v="18"/>
    <n v="3607061"/>
    <n v="3354289"/>
    <n v="252772"/>
    <n v="7.54"/>
  </r>
  <r>
    <x v="7"/>
    <x v="19"/>
    <n v="4149127"/>
    <n v="3607061"/>
    <n v="542066"/>
    <n v="15.03"/>
  </r>
  <r>
    <x v="7"/>
    <x v="20"/>
    <n v="4536570"/>
    <n v="4149127"/>
    <n v="387443"/>
    <n v="9.34"/>
  </r>
  <r>
    <x v="8"/>
    <x v="11"/>
    <n v="0"/>
    <n v="6"/>
    <n v="-6"/>
    <n v="-100"/>
  </r>
  <r>
    <x v="8"/>
    <x v="12"/>
    <n v="807"/>
    <n v="0"/>
    <n v="807"/>
    <s v="NULL"/>
  </r>
  <r>
    <x v="8"/>
    <x v="13"/>
    <n v="100"/>
    <n v="807"/>
    <n v="-707"/>
    <n v="-87.61"/>
  </r>
  <r>
    <x v="8"/>
    <x v="14"/>
    <n v="113"/>
    <n v="100"/>
    <n v="13"/>
    <n v="13"/>
  </r>
  <r>
    <x v="8"/>
    <x v="15"/>
    <n v="1882"/>
    <n v="113"/>
    <n v="1769"/>
    <n v="1565.49"/>
  </r>
  <r>
    <x v="8"/>
    <x v="16"/>
    <n v="1691"/>
    <n v="1882"/>
    <n v="-191"/>
    <n v="-10.15"/>
  </r>
  <r>
    <x v="8"/>
    <x v="17"/>
    <n v="2393"/>
    <n v="1691"/>
    <n v="702"/>
    <n v="41.51"/>
  </r>
  <r>
    <x v="8"/>
    <x v="18"/>
    <n v="3562"/>
    <n v="2393"/>
    <n v="1169"/>
    <n v="48.85"/>
  </r>
  <r>
    <x v="8"/>
    <x v="19"/>
    <n v="5638"/>
    <n v="3562"/>
    <n v="2076"/>
    <n v="58.28"/>
  </r>
  <r>
    <x v="8"/>
    <x v="20"/>
    <n v="7275"/>
    <n v="5638"/>
    <n v="1637"/>
    <n v="29.04"/>
  </r>
  <r>
    <x v="8"/>
    <x v="21"/>
    <n v="9367"/>
    <n v="7275"/>
    <n v="2092"/>
    <n v="28.76"/>
  </r>
  <r>
    <x v="9"/>
    <x v="11"/>
    <n v="292699"/>
    <n v="263722"/>
    <n v="28977"/>
    <n v="10.99"/>
  </r>
  <r>
    <x v="9"/>
    <x v="12"/>
    <n v="295719"/>
    <n v="292699"/>
    <n v="3020"/>
    <n v="1.03"/>
  </r>
  <r>
    <x v="9"/>
    <x v="13"/>
    <n v="321355"/>
    <n v="295719"/>
    <n v="25636"/>
    <n v="8.67"/>
  </r>
  <r>
    <x v="9"/>
    <x v="14"/>
    <n v="335679"/>
    <n v="321355"/>
    <n v="14324"/>
    <n v="4.46"/>
  </r>
  <r>
    <x v="9"/>
    <x v="15"/>
    <n v="324580"/>
    <n v="335679"/>
    <n v="-11099"/>
    <n v="-3.31"/>
  </r>
  <r>
    <x v="9"/>
    <x v="16"/>
    <n v="310962"/>
    <n v="324580"/>
    <n v="-13618"/>
    <n v="-4.2"/>
  </r>
  <r>
    <x v="9"/>
    <x v="17"/>
    <n v="272478"/>
    <n v="310962"/>
    <n v="-38484"/>
    <n v="-12.38"/>
  </r>
  <r>
    <x v="9"/>
    <x v="18"/>
    <n v="258963"/>
    <n v="272478"/>
    <n v="-13515"/>
    <n v="-4.96"/>
  </r>
  <r>
    <x v="9"/>
    <x v="19"/>
    <n v="246568"/>
    <n v="258963"/>
    <n v="-12395"/>
    <n v="-4.79"/>
  </r>
  <r>
    <x v="9"/>
    <x v="20"/>
    <n v="247195"/>
    <n v="246568"/>
    <n v="627"/>
    <n v="0.25"/>
  </r>
  <r>
    <x v="10"/>
    <x v="11"/>
    <n v="3682"/>
    <n v="3234"/>
    <n v="448"/>
    <n v="13.85"/>
  </r>
  <r>
    <x v="10"/>
    <x v="12"/>
    <n v="4477"/>
    <n v="3682"/>
    <n v="795"/>
    <n v="21.59"/>
  </r>
  <r>
    <x v="10"/>
    <x v="13"/>
    <n v="4314"/>
    <n v="4477"/>
    <n v="-163"/>
    <n v="-3.64"/>
  </r>
  <r>
    <x v="10"/>
    <x v="14"/>
    <n v="3352"/>
    <n v="4314"/>
    <n v="-962"/>
    <n v="-22.3"/>
  </r>
  <r>
    <x v="10"/>
    <x v="15"/>
    <n v="4918"/>
    <n v="3352"/>
    <n v="1566"/>
    <n v="46.72"/>
  </r>
  <r>
    <x v="10"/>
    <x v="16"/>
    <n v="5071"/>
    <n v="4918"/>
    <n v="153"/>
    <n v="3.11"/>
  </r>
  <r>
    <x v="10"/>
    <x v="17"/>
    <n v="3838"/>
    <n v="5071"/>
    <n v="-1233"/>
    <n v="-24.31"/>
  </r>
  <r>
    <x v="10"/>
    <x v="18"/>
    <n v="2210"/>
    <n v="3838"/>
    <n v="-1628"/>
    <n v="-42.42"/>
  </r>
  <r>
    <x v="10"/>
    <x v="19"/>
    <n v="3031"/>
    <n v="2210"/>
    <n v="821"/>
    <n v="37.15"/>
  </r>
  <r>
    <x v="10"/>
    <x v="20"/>
    <n v="3384"/>
    <n v="3031"/>
    <n v="353"/>
    <n v="11.65"/>
  </r>
  <r>
    <x v="10"/>
    <x v="21"/>
    <n v="1347"/>
    <n v="3384"/>
    <n v="-2037"/>
    <n v="-60.2"/>
  </r>
  <r>
    <x v="11"/>
    <x v="11"/>
    <n v="335588"/>
    <n v="272874"/>
    <n v="62714"/>
    <n v="22.98"/>
  </r>
  <r>
    <x v="11"/>
    <x v="12"/>
    <n v="416677"/>
    <n v="335588"/>
    <n v="81089"/>
    <n v="24.16"/>
  </r>
  <r>
    <x v="11"/>
    <x v="13"/>
    <n v="509762"/>
    <n v="416677"/>
    <n v="93085"/>
    <n v="22.34"/>
  </r>
  <r>
    <x v="11"/>
    <x v="14"/>
    <n v="649587"/>
    <n v="509762"/>
    <n v="139825"/>
    <n v="27.43"/>
  </r>
  <r>
    <x v="11"/>
    <x v="15"/>
    <n v="741550"/>
    <n v="649587"/>
    <n v="91963"/>
    <n v="14.16"/>
  </r>
  <r>
    <x v="11"/>
    <x v="16"/>
    <n v="944817"/>
    <n v="741550"/>
    <n v="203267"/>
    <n v="27.41"/>
  </r>
  <r>
    <x v="11"/>
    <x v="17"/>
    <n v="1080235"/>
    <n v="944817"/>
    <n v="135418"/>
    <n v="14.33"/>
  </r>
  <r>
    <x v="11"/>
    <x v="18"/>
    <n v="1333041"/>
    <n v="1080235"/>
    <n v="252806"/>
    <n v="23.4"/>
  </r>
  <r>
    <x v="11"/>
    <x v="19"/>
    <n v="1511418"/>
    <n v="1333041"/>
    <n v="178377"/>
    <n v="13.38"/>
  </r>
  <r>
    <x v="11"/>
    <x v="20"/>
    <n v="1784970"/>
    <n v="1511418"/>
    <n v="273552"/>
    <n v="18.100000000000001"/>
  </r>
  <r>
    <x v="12"/>
    <x v="13"/>
    <n v="100"/>
    <n v="284"/>
    <n v="-184"/>
    <n v="-64.790000000000006"/>
  </r>
  <r>
    <x v="12"/>
    <x v="14"/>
    <n v="232"/>
    <n v="100"/>
    <n v="132"/>
    <n v="132"/>
  </r>
  <r>
    <x v="12"/>
    <x v="15"/>
    <n v="261"/>
    <n v="232"/>
    <n v="29"/>
    <n v="12.5"/>
  </r>
  <r>
    <x v="12"/>
    <x v="16"/>
    <n v="228"/>
    <n v="261"/>
    <n v="-33"/>
    <n v="-12.64"/>
  </r>
  <r>
    <x v="12"/>
    <x v="17"/>
    <n v="312"/>
    <n v="228"/>
    <n v="84"/>
    <n v="36.840000000000003"/>
  </r>
  <r>
    <x v="12"/>
    <x v="18"/>
    <n v="453"/>
    <n v="312"/>
    <n v="141"/>
    <n v="45.19"/>
  </r>
  <r>
    <x v="12"/>
    <x v="19"/>
    <n v="584"/>
    <n v="453"/>
    <n v="131"/>
    <n v="28.92"/>
  </r>
  <r>
    <x v="12"/>
    <x v="20"/>
    <n v="605"/>
    <n v="584"/>
    <n v="21"/>
    <n v="3.6"/>
  </r>
  <r>
    <x v="12"/>
    <x v="21"/>
    <n v="568"/>
    <n v="605"/>
    <n v="-37"/>
    <n v="-6.12"/>
  </r>
  <r>
    <x v="13"/>
    <x v="11"/>
    <n v="0"/>
    <n v="0"/>
    <n v="0"/>
    <s v="NULL"/>
  </r>
  <r>
    <x v="13"/>
    <x v="12"/>
    <n v="0"/>
    <n v="0"/>
    <n v="0"/>
    <s v="NULL"/>
  </r>
  <r>
    <x v="13"/>
    <x v="13"/>
    <n v="0"/>
    <n v="0"/>
    <n v="0"/>
    <s v="NULL"/>
  </r>
  <r>
    <x v="13"/>
    <x v="14"/>
    <n v="0"/>
    <n v="0"/>
    <n v="0"/>
    <s v="NULL"/>
  </r>
  <r>
    <x v="13"/>
    <x v="15"/>
    <n v="7908"/>
    <n v="0"/>
    <n v="7908"/>
    <s v="NULL"/>
  </r>
  <r>
    <x v="13"/>
    <x v="16"/>
    <n v="0"/>
    <n v="7908"/>
    <n v="-7908"/>
    <n v="-100"/>
  </r>
  <r>
    <x v="13"/>
    <x v="17"/>
    <n v="2538"/>
    <n v="0"/>
    <n v="2538"/>
    <s v="NULL"/>
  </r>
  <r>
    <x v="13"/>
    <x v="18"/>
    <n v="611"/>
    <n v="2538"/>
    <n v="-1927"/>
    <n v="-75.930000000000007"/>
  </r>
  <r>
    <x v="13"/>
    <x v="19"/>
    <n v="7201"/>
    <n v="611"/>
    <n v="6590"/>
    <n v="1078.56"/>
  </r>
  <r>
    <x v="13"/>
    <x v="20"/>
    <n v="2844"/>
    <n v="7201"/>
    <n v="-4357"/>
    <n v="-60.51"/>
  </r>
  <r>
    <x v="13"/>
    <x v="21"/>
    <n v="11881"/>
    <n v="2844"/>
    <n v="9037"/>
    <n v="317.76"/>
  </r>
  <r>
    <x v="14"/>
    <x v="11"/>
    <n v="0"/>
    <n v="0"/>
    <n v="0"/>
    <s v="NULL"/>
  </r>
  <r>
    <x v="14"/>
    <x v="12"/>
    <n v="0"/>
    <n v="0"/>
    <n v="0"/>
    <s v="NULL"/>
  </r>
  <r>
    <x v="14"/>
    <x v="13"/>
    <n v="0"/>
    <n v="0"/>
    <n v="0"/>
    <s v="NULL"/>
  </r>
  <r>
    <x v="14"/>
    <x v="14"/>
    <n v="0"/>
    <n v="0"/>
    <n v="0"/>
    <s v="NULL"/>
  </r>
  <r>
    <x v="14"/>
    <x v="15"/>
    <n v="0"/>
    <n v="0"/>
    <n v="0"/>
    <s v="NULL"/>
  </r>
  <r>
    <x v="14"/>
    <x v="16"/>
    <n v="0"/>
    <n v="0"/>
    <n v="0"/>
    <s v="NULL"/>
  </r>
  <r>
    <x v="14"/>
    <x v="17"/>
    <n v="0"/>
    <n v="0"/>
    <n v="0"/>
    <s v="NULL"/>
  </r>
  <r>
    <x v="14"/>
    <x v="18"/>
    <n v="4633"/>
    <n v="0"/>
    <n v="4633"/>
    <s v="NULL"/>
  </r>
  <r>
    <x v="14"/>
    <x v="19"/>
    <n v="5325"/>
    <n v="4633"/>
    <n v="692"/>
    <n v="14.94"/>
  </r>
  <r>
    <x v="14"/>
    <x v="20"/>
    <n v="5474"/>
    <n v="5325"/>
    <n v="149"/>
    <n v="2.8"/>
  </r>
  <r>
    <x v="14"/>
    <x v="21"/>
    <n v="8299"/>
    <n v="5474"/>
    <n v="2825"/>
    <n v="51.61"/>
  </r>
  <r>
    <x v="15"/>
    <x v="11"/>
    <n v="21346"/>
    <n v="19909"/>
    <n v="1437"/>
    <n v="7.22"/>
  </r>
  <r>
    <x v="15"/>
    <x v="12"/>
    <n v="34762"/>
    <n v="21346"/>
    <n v="13416"/>
    <n v="62.85"/>
  </r>
  <r>
    <x v="15"/>
    <x v="13"/>
    <n v="37990"/>
    <n v="34762"/>
    <n v="3228"/>
    <n v="9.2899999999999991"/>
  </r>
  <r>
    <x v="15"/>
    <x v="14"/>
    <n v="42204"/>
    <n v="37990"/>
    <n v="4214"/>
    <n v="11.09"/>
  </r>
  <r>
    <x v="15"/>
    <x v="15"/>
    <n v="43334"/>
    <n v="42204"/>
    <n v="1130"/>
    <n v="2.68"/>
  </r>
  <r>
    <x v="15"/>
    <x v="16"/>
    <n v="39185"/>
    <n v="43334"/>
    <n v="-4149"/>
    <n v="-9.57"/>
  </r>
  <r>
    <x v="15"/>
    <x v="17"/>
    <n v="47376"/>
    <n v="39185"/>
    <n v="8191"/>
    <n v="20.9"/>
  </r>
  <r>
    <x v="15"/>
    <x v="18"/>
    <n v="61399"/>
    <n v="47376"/>
    <n v="14023"/>
    <n v="29.6"/>
  </r>
  <r>
    <x v="15"/>
    <x v="19"/>
    <n v="66701"/>
    <n v="61399"/>
    <n v="5302"/>
    <n v="8.64"/>
  </r>
  <r>
    <x v="15"/>
    <x v="20"/>
    <n v="72208"/>
    <n v="66701"/>
    <n v="5507"/>
    <n v="8.26"/>
  </r>
  <r>
    <x v="15"/>
    <x v="21"/>
    <n v="80853"/>
    <n v="72208"/>
    <n v="8645"/>
    <n v="11.97"/>
  </r>
  <r>
    <x v="16"/>
    <x v="11"/>
    <n v="85561"/>
    <n v="65655"/>
    <n v="19906"/>
    <n v="30.32"/>
  </r>
  <r>
    <x v="16"/>
    <x v="12"/>
    <n v="85937"/>
    <n v="85561"/>
    <n v="376"/>
    <n v="0.44"/>
  </r>
  <r>
    <x v="16"/>
    <x v="13"/>
    <n v="104258"/>
    <n v="85937"/>
    <n v="18321"/>
    <n v="21.32"/>
  </r>
  <r>
    <x v="16"/>
    <x v="14"/>
    <n v="179679"/>
    <n v="104258"/>
    <n v="75421"/>
    <n v="72.34"/>
  </r>
  <r>
    <x v="16"/>
    <x v="15"/>
    <n v="205230"/>
    <n v="179679"/>
    <n v="25551"/>
    <n v="14.22"/>
  </r>
  <r>
    <x v="16"/>
    <x v="16"/>
    <n v="249840"/>
    <n v="205230"/>
    <n v="44610"/>
    <n v="21.74"/>
  </r>
  <r>
    <x v="16"/>
    <x v="17"/>
    <n v="291263"/>
    <n v="249840"/>
    <n v="41423"/>
    <n v="16.579999999999998"/>
  </r>
  <r>
    <x v="16"/>
    <x v="18"/>
    <n v="325977"/>
    <n v="291263"/>
    <n v="34714"/>
    <n v="11.92"/>
  </r>
  <r>
    <x v="16"/>
    <x v="19"/>
    <n v="326610"/>
    <n v="325977"/>
    <n v="633"/>
    <n v="0.19"/>
  </r>
  <r>
    <x v="16"/>
    <x v="20"/>
    <n v="365235"/>
    <n v="326610"/>
    <n v="38625"/>
    <n v="11.83"/>
  </r>
  <r>
    <x v="17"/>
    <x v="11"/>
    <n v="336"/>
    <n v="301"/>
    <n v="35"/>
    <n v="11.63"/>
  </r>
  <r>
    <x v="17"/>
    <x v="12"/>
    <n v="332"/>
    <n v="336"/>
    <n v="-4"/>
    <n v="-1.19"/>
  </r>
  <r>
    <x v="17"/>
    <x v="13"/>
    <n v="267"/>
    <n v="332"/>
    <n v="-65"/>
    <n v="-19.579999999999998"/>
  </r>
  <r>
    <x v="17"/>
    <x v="14"/>
    <n v="400"/>
    <n v="267"/>
    <n v="133"/>
    <n v="49.81"/>
  </r>
  <r>
    <x v="17"/>
    <x v="15"/>
    <n v="392"/>
    <n v="400"/>
    <n v="-8"/>
    <n v="-2"/>
  </r>
  <r>
    <x v="17"/>
    <x v="16"/>
    <n v="391"/>
    <n v="392"/>
    <n v="-1"/>
    <n v="-0.26"/>
  </r>
  <r>
    <x v="17"/>
    <x v="17"/>
    <n v="494"/>
    <n v="391"/>
    <n v="103"/>
    <n v="26.34"/>
  </r>
  <r>
    <x v="17"/>
    <x v="18"/>
    <n v="300"/>
    <n v="494"/>
    <n v="-194"/>
    <n v="-39.270000000000003"/>
  </r>
  <r>
    <x v="17"/>
    <x v="19"/>
    <n v="300"/>
    <n v="300"/>
    <n v="0"/>
    <n v="0"/>
  </r>
  <r>
    <x v="17"/>
    <x v="20"/>
    <n v="4725"/>
    <n v="300"/>
    <n v="4425"/>
    <n v="1475"/>
  </r>
  <r>
    <x v="17"/>
    <x v="21"/>
    <n v="4464"/>
    <n v="4725"/>
    <n v="-261"/>
    <n v="-5.52"/>
  </r>
  <r>
    <x v="18"/>
    <x v="11"/>
    <n v="4839"/>
    <n v="3741"/>
    <n v="1098"/>
    <n v="29.35"/>
  </r>
  <r>
    <x v="18"/>
    <x v="12"/>
    <n v="80566"/>
    <n v="4839"/>
    <n v="75727"/>
    <n v="1564.93"/>
  </r>
  <r>
    <x v="18"/>
    <x v="13"/>
    <n v="77752"/>
    <n v="80566"/>
    <n v="-2814"/>
    <n v="-3.49"/>
  </r>
  <r>
    <x v="18"/>
    <x v="14"/>
    <n v="67778"/>
    <n v="77752"/>
    <n v="-9974"/>
    <n v="-12.83"/>
  </r>
  <r>
    <x v="18"/>
    <x v="15"/>
    <n v="71569"/>
    <n v="67778"/>
    <n v="3791"/>
    <n v="5.59"/>
  </r>
  <r>
    <x v="18"/>
    <x v="16"/>
    <n v="58159"/>
    <n v="71569"/>
    <n v="-13410"/>
    <n v="-18.739999999999998"/>
  </r>
  <r>
    <x v="18"/>
    <x v="17"/>
    <n v="66226"/>
    <n v="58159"/>
    <n v="8067"/>
    <n v="13.87"/>
  </r>
  <r>
    <x v="18"/>
    <x v="18"/>
    <n v="59185"/>
    <n v="66226"/>
    <n v="-7041"/>
    <n v="-10.63"/>
  </r>
  <r>
    <x v="18"/>
    <x v="19"/>
    <n v="57667"/>
    <n v="59185"/>
    <n v="-1518"/>
    <n v="-2.56"/>
  </r>
  <r>
    <x v="18"/>
    <x v="20"/>
    <n v="53581"/>
    <n v="57667"/>
    <n v="-4086"/>
    <n v="-7.09"/>
  </r>
  <r>
    <x v="18"/>
    <x v="21"/>
    <n v="66628"/>
    <n v="53581"/>
    <n v="13047"/>
    <n v="24.35"/>
  </r>
  <r>
    <x v="19"/>
    <x v="11"/>
    <n v="9550"/>
    <n v="7038"/>
    <n v="2512"/>
    <n v="35.69"/>
  </r>
  <r>
    <x v="19"/>
    <x v="12"/>
    <n v="9681"/>
    <n v="9550"/>
    <n v="131"/>
    <n v="1.37"/>
  </r>
  <r>
    <x v="19"/>
    <x v="13"/>
    <n v="11930"/>
    <n v="9681"/>
    <n v="2249"/>
    <n v="23.23"/>
  </r>
  <r>
    <x v="19"/>
    <x v="14"/>
    <n v="12505"/>
    <n v="11930"/>
    <n v="575"/>
    <n v="4.82"/>
  </r>
  <r>
    <x v="19"/>
    <x v="15"/>
    <n v="9213"/>
    <n v="12505"/>
    <n v="-3292"/>
    <n v="-26.33"/>
  </r>
  <r>
    <x v="19"/>
    <x v="16"/>
    <n v="67014"/>
    <n v="9213"/>
    <n v="57801"/>
    <n v="627.39"/>
  </r>
  <r>
    <x v="19"/>
    <x v="17"/>
    <n v="84418"/>
    <n v="67014"/>
    <n v="17404"/>
    <n v="25.97"/>
  </r>
  <r>
    <x v="19"/>
    <x v="18"/>
    <n v="84766"/>
    <n v="84418"/>
    <n v="348"/>
    <n v="0.41"/>
  </r>
  <r>
    <x v="19"/>
    <x v="19"/>
    <n v="79067"/>
    <n v="84766"/>
    <n v="-5699"/>
    <n v="-6.72"/>
  </r>
  <r>
    <x v="19"/>
    <x v="20"/>
    <n v="74733"/>
    <n v="79067"/>
    <n v="-4334"/>
    <n v="-5.48"/>
  </r>
  <r>
    <x v="19"/>
    <x v="21"/>
    <n v="103039"/>
    <n v="74733"/>
    <n v="28306"/>
    <n v="37.880000000000003"/>
  </r>
  <r>
    <x v="20"/>
    <x v="22"/>
    <n v="15973"/>
    <n v="6704"/>
    <n v="9269"/>
    <n v="138.26"/>
  </r>
  <r>
    <x v="20"/>
    <x v="11"/>
    <n v="20686"/>
    <n v="15973"/>
    <n v="4713"/>
    <n v="29.51"/>
  </r>
  <r>
    <x v="20"/>
    <x v="12"/>
    <n v="49113"/>
    <n v="20686"/>
    <n v="28427"/>
    <n v="137.41999999999999"/>
  </r>
  <r>
    <x v="20"/>
    <x v="13"/>
    <n v="53944"/>
    <n v="49113"/>
    <n v="4831"/>
    <n v="9.84"/>
  </r>
  <r>
    <x v="20"/>
    <x v="14"/>
    <n v="45500"/>
    <n v="53944"/>
    <n v="-8444"/>
    <n v="-15.65"/>
  </r>
  <r>
    <x v="20"/>
    <x v="15"/>
    <n v="80029"/>
    <n v="45500"/>
    <n v="34529"/>
    <n v="75.89"/>
  </r>
  <r>
    <x v="20"/>
    <x v="16"/>
    <n v="106550"/>
    <n v="80029"/>
    <n v="26521"/>
    <n v="33.14"/>
  </r>
  <r>
    <x v="20"/>
    <x v="17"/>
    <n v="107742"/>
    <n v="106550"/>
    <n v="1192"/>
    <n v="1.1200000000000001"/>
  </r>
  <r>
    <x v="20"/>
    <x v="18"/>
    <n v="129473"/>
    <n v="107742"/>
    <n v="21731"/>
    <n v="20.170000000000002"/>
  </r>
  <r>
    <x v="20"/>
    <x v="19"/>
    <n v="133187"/>
    <n v="129473"/>
    <n v="3714"/>
    <n v="2.87"/>
  </r>
  <r>
    <x v="20"/>
    <x v="20"/>
    <n v="121986"/>
    <n v="133187"/>
    <n v="-11201"/>
    <n v="-8.41"/>
  </r>
  <r>
    <x v="20"/>
    <x v="23"/>
    <n v="150352"/>
    <n v="121986"/>
    <n v="28366"/>
    <n v="23.25"/>
  </r>
  <r>
    <x v="21"/>
    <x v="11"/>
    <n v="107219"/>
    <n v="92447"/>
    <n v="14772"/>
    <n v="15.98"/>
  </r>
  <r>
    <x v="21"/>
    <x v="12"/>
    <n v="138761"/>
    <n v="107219"/>
    <n v="31542"/>
    <n v="29.42"/>
  </r>
  <r>
    <x v="21"/>
    <x v="13"/>
    <n v="168251"/>
    <n v="138761"/>
    <n v="29490"/>
    <n v="21.25"/>
  </r>
  <r>
    <x v="21"/>
    <x v="14"/>
    <n v="194714"/>
    <n v="168251"/>
    <n v="26463"/>
    <n v="15.73"/>
  </r>
  <r>
    <x v="21"/>
    <x v="15"/>
    <n v="217475"/>
    <n v="194714"/>
    <n v="22761"/>
    <n v="11.69"/>
  </r>
  <r>
    <x v="21"/>
    <x v="16"/>
    <n v="239843"/>
    <n v="217475"/>
    <n v="22368"/>
    <n v="10.29"/>
  </r>
  <r>
    <x v="21"/>
    <x v="17"/>
    <n v="307714"/>
    <n v="239843"/>
    <n v="67871"/>
    <n v="28.3"/>
  </r>
  <r>
    <x v="21"/>
    <x v="18"/>
    <n v="355133"/>
    <n v="307714"/>
    <n v="47419"/>
    <n v="15.41"/>
  </r>
  <r>
    <x v="21"/>
    <x v="19"/>
    <n v="278962"/>
    <n v="355133"/>
    <n v="-76171"/>
    <n v="-21.45"/>
  </r>
  <r>
    <x v="21"/>
    <x v="20"/>
    <n v="319158"/>
    <n v="278962"/>
    <n v="40196"/>
    <n v="14.41"/>
  </r>
  <r>
    <x v="21"/>
    <x v="21"/>
    <n v="335134"/>
    <n v="319158"/>
    <n v="15976"/>
    <n v="5.01"/>
  </r>
  <r>
    <x v="22"/>
    <x v="11"/>
    <n v="111"/>
    <n v="321"/>
    <n v="-210"/>
    <n v="-65.42"/>
  </r>
  <r>
    <x v="22"/>
    <x v="12"/>
    <n v="46"/>
    <n v="111"/>
    <n v="-65"/>
    <n v="-58.56"/>
  </r>
  <r>
    <x v="22"/>
    <x v="13"/>
    <n v="58"/>
    <n v="46"/>
    <n v="12"/>
    <n v="26.09"/>
  </r>
  <r>
    <x v="22"/>
    <x v="14"/>
    <n v="80"/>
    <n v="58"/>
    <n v="22"/>
    <n v="37.93"/>
  </r>
  <r>
    <x v="22"/>
    <x v="15"/>
    <n v="98"/>
    <n v="80"/>
    <n v="18"/>
    <n v="22.5"/>
  </r>
  <r>
    <x v="22"/>
    <x v="16"/>
    <n v="125"/>
    <n v="98"/>
    <n v="27"/>
    <n v="27.55"/>
  </r>
  <r>
    <x v="22"/>
    <x v="17"/>
    <n v="113"/>
    <n v="125"/>
    <n v="-12"/>
    <n v="-9.6"/>
  </r>
  <r>
    <x v="22"/>
    <x v="18"/>
    <n v="288"/>
    <n v="113"/>
    <n v="175"/>
    <n v="154.87"/>
  </r>
  <r>
    <x v="22"/>
    <x v="19"/>
    <n v="331"/>
    <n v="288"/>
    <n v="43"/>
    <n v="14.93"/>
  </r>
  <r>
    <x v="22"/>
    <x v="20"/>
    <n v="416"/>
    <n v="331"/>
    <n v="85"/>
    <n v="25.68"/>
  </r>
  <r>
    <x v="22"/>
    <x v="21"/>
    <n v="391"/>
    <n v="416"/>
    <n v="-25"/>
    <n v="-6.01"/>
  </r>
  <r>
    <x v="23"/>
    <x v="24"/>
    <n v="1288"/>
    <n v="2164"/>
    <n v="-876"/>
    <n v="-40.479999999999997"/>
  </r>
  <r>
    <x v="23"/>
    <x v="25"/>
    <n v="1200"/>
    <n v="1288"/>
    <n v="-88"/>
    <n v="-6.83"/>
  </r>
  <r>
    <x v="23"/>
    <x v="26"/>
    <n v="917"/>
    <n v="1200"/>
    <n v="-283"/>
    <n v="-23.58"/>
  </r>
  <r>
    <x v="23"/>
    <x v="14"/>
    <n v="881"/>
    <n v="917"/>
    <n v="-36"/>
    <n v="-3.93"/>
  </r>
  <r>
    <x v="23"/>
    <x v="15"/>
    <n v="1293"/>
    <n v="881"/>
    <n v="412"/>
    <n v="46.77"/>
  </r>
  <r>
    <x v="23"/>
    <x v="16"/>
    <n v="3403"/>
    <n v="1293"/>
    <n v="2110"/>
    <n v="163.19"/>
  </r>
  <r>
    <x v="23"/>
    <x v="17"/>
    <n v="2798"/>
    <n v="3403"/>
    <n v="-605"/>
    <n v="-17.78"/>
  </r>
  <r>
    <x v="23"/>
    <x v="18"/>
    <n v="3144"/>
    <n v="2798"/>
    <n v="346"/>
    <n v="12.37"/>
  </r>
  <r>
    <x v="23"/>
    <x v="19"/>
    <n v="2156"/>
    <n v="3144"/>
    <n v="-988"/>
    <n v="-31.42"/>
  </r>
  <r>
    <x v="23"/>
    <x v="20"/>
    <n v="2209"/>
    <n v="2156"/>
    <n v="53"/>
    <n v="2.46"/>
  </r>
  <r>
    <x v="23"/>
    <x v="21"/>
    <n v="2811"/>
    <n v="2209"/>
    <n v="602"/>
    <n v="27.25"/>
  </r>
  <r>
    <x v="24"/>
    <x v="11"/>
    <n v="37882"/>
    <n v="33860"/>
    <n v="4022"/>
    <n v="11.88"/>
  </r>
  <r>
    <x v="24"/>
    <x v="12"/>
    <n v="40173"/>
    <n v="37882"/>
    <n v="2291"/>
    <n v="6.05"/>
  </r>
  <r>
    <x v="24"/>
    <x v="13"/>
    <n v="40607"/>
    <n v="40173"/>
    <n v="434"/>
    <n v="1.08"/>
  </r>
  <r>
    <x v="24"/>
    <x v="14"/>
    <n v="38849"/>
    <n v="40607"/>
    <n v="-1758"/>
    <n v="-4.33"/>
  </r>
  <r>
    <x v="24"/>
    <x v="15"/>
    <n v="48815"/>
    <n v="38849"/>
    <n v="9966"/>
    <n v="25.65"/>
  </r>
  <r>
    <x v="24"/>
    <x v="16"/>
    <n v="48344"/>
    <n v="48815"/>
    <n v="-471"/>
    <n v="-0.96"/>
  </r>
  <r>
    <x v="24"/>
    <x v="17"/>
    <n v="48506"/>
    <n v="48344"/>
    <n v="162"/>
    <n v="0.34"/>
  </r>
  <r>
    <x v="24"/>
    <x v="18"/>
    <n v="51936"/>
    <n v="48506"/>
    <n v="3430"/>
    <n v="7.07"/>
  </r>
  <r>
    <x v="24"/>
    <x v="19"/>
    <n v="46708"/>
    <n v="51936"/>
    <n v="-5228"/>
    <n v="-10.07"/>
  </r>
  <r>
    <x v="24"/>
    <x v="20"/>
    <n v="51195"/>
    <n v="46708"/>
    <n v="4487"/>
    <n v="9.61"/>
  </r>
  <r>
    <x v="24"/>
    <x v="21"/>
    <n v="52923"/>
    <n v="51195"/>
    <n v="1728"/>
    <n v="3.38"/>
  </r>
  <r>
    <x v="25"/>
    <x v="22"/>
    <n v="579"/>
    <n v="572"/>
    <n v="7"/>
    <n v="1.22"/>
  </r>
  <r>
    <x v="25"/>
    <x v="11"/>
    <n v="693"/>
    <n v="579"/>
    <n v="114"/>
    <n v="19.690000000000001"/>
  </r>
  <r>
    <x v="25"/>
    <x v="12"/>
    <n v="1132"/>
    <n v="693"/>
    <n v="439"/>
    <n v="63.35"/>
  </r>
  <r>
    <x v="25"/>
    <x v="13"/>
    <n v="2740"/>
    <n v="1132"/>
    <n v="1608"/>
    <n v="142.05000000000001"/>
  </r>
  <r>
    <x v="25"/>
    <x v="14"/>
    <n v="2352"/>
    <n v="2740"/>
    <n v="-388"/>
    <n v="-14.16"/>
  </r>
  <r>
    <x v="25"/>
    <x v="15"/>
    <n v="2510"/>
    <n v="2352"/>
    <n v="158"/>
    <n v="6.72"/>
  </r>
  <r>
    <x v="25"/>
    <x v="16"/>
    <n v="6462"/>
    <n v="2510"/>
    <n v="3952"/>
    <n v="157.44999999999999"/>
  </r>
  <r>
    <x v="25"/>
    <x v="17"/>
    <n v="6038"/>
    <n v="6462"/>
    <n v="-424"/>
    <n v="-6.56"/>
  </r>
  <r>
    <x v="25"/>
    <x v="18"/>
    <n v="5784"/>
    <n v="6038"/>
    <n v="-254"/>
    <n v="-4.21"/>
  </r>
  <r>
    <x v="25"/>
    <x v="19"/>
    <n v="4874"/>
    <n v="5784"/>
    <n v="-910"/>
    <n v="-15.73"/>
  </r>
  <r>
    <x v="25"/>
    <x v="20"/>
    <n v="4070"/>
    <n v="4874"/>
    <n v="-804"/>
    <n v="-16.5"/>
  </r>
  <r>
    <x v="25"/>
    <x v="23"/>
    <n v="4083"/>
    <n v="4070"/>
    <n v="13"/>
    <n v="0.32"/>
  </r>
  <r>
    <x v="26"/>
    <x v="0"/>
    <n v="60"/>
    <n v="69"/>
    <n v="-9"/>
    <n v="-13.04"/>
  </r>
  <r>
    <x v="26"/>
    <x v="1"/>
    <n v="48"/>
    <n v="60"/>
    <n v="-12"/>
    <n v="-20"/>
  </r>
  <r>
    <x v="26"/>
    <x v="2"/>
    <n v="34"/>
    <n v="48"/>
    <n v="-14"/>
    <n v="-29.17"/>
  </r>
  <r>
    <x v="26"/>
    <x v="3"/>
    <n v="35"/>
    <n v="34"/>
    <n v="1"/>
    <n v="2.94"/>
  </r>
  <r>
    <x v="26"/>
    <x v="4"/>
    <n v="29"/>
    <n v="35"/>
    <n v="-6"/>
    <n v="-17.14"/>
  </r>
  <r>
    <x v="26"/>
    <x v="5"/>
    <n v="24"/>
    <n v="29"/>
    <n v="-5"/>
    <n v="-17.239999999999998"/>
  </r>
  <r>
    <x v="26"/>
    <x v="6"/>
    <n v="40"/>
    <n v="24"/>
    <n v="16"/>
    <n v="66.67"/>
  </r>
  <r>
    <x v="26"/>
    <x v="7"/>
    <n v="41"/>
    <n v="40"/>
    <n v="1"/>
    <n v="2.5"/>
  </r>
  <r>
    <x v="26"/>
    <x v="8"/>
    <n v="471"/>
    <n v="41"/>
    <n v="430"/>
    <n v="1048.78"/>
  </r>
  <r>
    <x v="26"/>
    <x v="9"/>
    <n v="477"/>
    <n v="471"/>
    <n v="6"/>
    <n v="1.27"/>
  </r>
  <r>
    <x v="26"/>
    <x v="27"/>
    <n v="475"/>
    <n v="477"/>
    <n v="-2"/>
    <n v="-0.42"/>
  </r>
  <r>
    <x v="27"/>
    <x v="11"/>
    <n v="56951"/>
    <n v="41016"/>
    <n v="15935"/>
    <n v="38.85"/>
  </r>
  <r>
    <x v="27"/>
    <x v="12"/>
    <n v="64756"/>
    <n v="56951"/>
    <n v="7805"/>
    <n v="13.7"/>
  </r>
  <r>
    <x v="27"/>
    <x v="13"/>
    <n v="68468"/>
    <n v="64756"/>
    <n v="3712"/>
    <n v="5.73"/>
  </r>
  <r>
    <x v="27"/>
    <x v="14"/>
    <n v="67552"/>
    <n v="68468"/>
    <n v="-916"/>
    <n v="-1.34"/>
  </r>
  <r>
    <x v="27"/>
    <x v="15"/>
    <n v="63817"/>
    <n v="67552"/>
    <n v="-3735"/>
    <n v="-5.53"/>
  </r>
  <r>
    <x v="27"/>
    <x v="16"/>
    <n v="52074"/>
    <n v="63817"/>
    <n v="-11743"/>
    <n v="-18.399999999999999"/>
  </r>
  <r>
    <x v="27"/>
    <x v="17"/>
    <n v="52415"/>
    <n v="52074"/>
    <n v="341"/>
    <n v="0.65"/>
  </r>
  <r>
    <x v="27"/>
    <x v="18"/>
    <n v="68399"/>
    <n v="52415"/>
    <n v="15984"/>
    <n v="30.5"/>
  </r>
  <r>
    <x v="27"/>
    <x v="19"/>
    <n v="67206"/>
    <n v="68399"/>
    <n v="-1193"/>
    <n v="-1.74"/>
  </r>
  <r>
    <x v="27"/>
    <x v="20"/>
    <n v="64486"/>
    <n v="67206"/>
    <n v="-2720"/>
    <n v="-4.05"/>
  </r>
  <r>
    <x v="27"/>
    <x v="21"/>
    <n v="65926"/>
    <n v="64486"/>
    <n v="1440"/>
    <n v="2.23"/>
  </r>
  <r>
    <x v="28"/>
    <x v="11"/>
    <n v="68507"/>
    <n v="59897"/>
    <n v="8610"/>
    <n v="14.37"/>
  </r>
  <r>
    <x v="28"/>
    <x v="12"/>
    <n v="81609"/>
    <n v="68507"/>
    <n v="13102"/>
    <n v="19.13"/>
  </r>
  <r>
    <x v="28"/>
    <x v="13"/>
    <n v="80701"/>
    <n v="81609"/>
    <n v="-908"/>
    <n v="-1.1100000000000001"/>
  </r>
  <r>
    <x v="28"/>
    <x v="14"/>
    <n v="81987"/>
    <n v="80701"/>
    <n v="1286"/>
    <n v="1.59"/>
  </r>
  <r>
    <x v="28"/>
    <x v="15"/>
    <n v="83014"/>
    <n v="81987"/>
    <n v="1027"/>
    <n v="1.25"/>
  </r>
  <r>
    <x v="28"/>
    <x v="16"/>
    <n v="92127"/>
    <n v="83014"/>
    <n v="9113"/>
    <n v="10.98"/>
  </r>
  <r>
    <x v="28"/>
    <x v="17"/>
    <n v="100803"/>
    <n v="92127"/>
    <n v="8676"/>
    <n v="9.42"/>
  </r>
  <r>
    <x v="28"/>
    <x v="18"/>
    <n v="116328"/>
    <n v="100803"/>
    <n v="15525"/>
    <n v="15.4"/>
  </r>
  <r>
    <x v="28"/>
    <x v="19"/>
    <n v="88501"/>
    <n v="116328"/>
    <n v="-27827"/>
    <n v="-23.92"/>
  </r>
  <r>
    <x v="28"/>
    <x v="20"/>
    <n v="75561"/>
    <n v="88501"/>
    <n v="-12940"/>
    <n v="-14.62"/>
  </r>
  <r>
    <x v="28"/>
    <x v="21"/>
    <n v="84893"/>
    <n v="75561"/>
    <n v="9332"/>
    <n v="12.35"/>
  </r>
  <r>
    <x v="29"/>
    <x v="11"/>
    <n v="0"/>
    <n v="0"/>
    <n v="0"/>
    <s v="NULL"/>
  </r>
  <r>
    <x v="29"/>
    <x v="12"/>
    <n v="0"/>
    <n v="0"/>
    <n v="0"/>
    <s v="NULL"/>
  </r>
  <r>
    <x v="29"/>
    <x v="13"/>
    <n v="0"/>
    <n v="0"/>
    <n v="0"/>
    <s v="NULL"/>
  </r>
  <r>
    <x v="29"/>
    <x v="14"/>
    <n v="0"/>
    <n v="0"/>
    <n v="0"/>
    <s v="NULL"/>
  </r>
  <r>
    <x v="29"/>
    <x v="15"/>
    <n v="0"/>
    <n v="0"/>
    <n v="0"/>
    <s v="NULL"/>
  </r>
  <r>
    <x v="29"/>
    <x v="16"/>
    <n v="0"/>
    <n v="0"/>
    <n v="0"/>
    <s v="NULL"/>
  </r>
  <r>
    <x v="29"/>
    <x v="17"/>
    <n v="0"/>
    <n v="0"/>
    <n v="0"/>
    <s v="NULL"/>
  </r>
  <r>
    <x v="29"/>
    <x v="18"/>
    <n v="168"/>
    <n v="0"/>
    <n v="168"/>
    <s v="NULL"/>
  </r>
  <r>
    <x v="29"/>
    <x v="19"/>
    <n v="136"/>
    <n v="168"/>
    <n v="-32"/>
    <n v="-19.05"/>
  </r>
  <r>
    <x v="29"/>
    <x v="20"/>
    <n v="114"/>
    <n v="136"/>
    <n v="-22"/>
    <n v="-16.18"/>
  </r>
  <r>
    <x v="29"/>
    <x v="21"/>
    <n v="93"/>
    <n v="114"/>
    <n v="-21"/>
    <n v="-18.420000000000002"/>
  </r>
  <r>
    <x v="30"/>
    <x v="11"/>
    <n v="63144"/>
    <n v="51568"/>
    <n v="11576"/>
    <n v="22.45"/>
  </r>
  <r>
    <x v="30"/>
    <x v="12"/>
    <n v="80846"/>
    <n v="63144"/>
    <n v="17702"/>
    <n v="28.03"/>
  </r>
  <r>
    <x v="30"/>
    <x v="13"/>
    <n v="93630"/>
    <n v="80846"/>
    <n v="12784"/>
    <n v="15.81"/>
  </r>
  <r>
    <x v="30"/>
    <x v="14"/>
    <n v="86822"/>
    <n v="93630"/>
    <n v="-6808"/>
    <n v="-7.27"/>
  </r>
  <r>
    <x v="30"/>
    <x v="15"/>
    <n v="92807"/>
    <n v="86822"/>
    <n v="5985"/>
    <n v="6.89"/>
  </r>
  <r>
    <x v="30"/>
    <x v="16"/>
    <n v="106619"/>
    <n v="92807"/>
    <n v="13812"/>
    <n v="14.88"/>
  </r>
  <r>
    <x v="30"/>
    <x v="17"/>
    <n v="124579"/>
    <n v="106619"/>
    <n v="17960"/>
    <n v="16.850000000000001"/>
  </r>
  <r>
    <x v="30"/>
    <x v="18"/>
    <n v="141770"/>
    <n v="124579"/>
    <n v="17191"/>
    <n v="13.8"/>
  </r>
  <r>
    <x v="30"/>
    <x v="19"/>
    <n v="133505"/>
    <n v="141770"/>
    <n v="-8265"/>
    <n v="-5.83"/>
  </r>
  <r>
    <x v="30"/>
    <x v="20"/>
    <n v="125292"/>
    <n v="133505"/>
    <n v="-8213"/>
    <n v="-6.15"/>
  </r>
  <r>
    <x v="30"/>
    <x v="21"/>
    <n v="120650"/>
    <n v="125292"/>
    <n v="-4642"/>
    <n v="-3.7"/>
  </r>
  <r>
    <x v="31"/>
    <x v="11"/>
    <n v="28711"/>
    <n v="23121"/>
    <n v="5590"/>
    <n v="24.18"/>
  </r>
  <r>
    <x v="31"/>
    <x v="12"/>
    <n v="35167"/>
    <n v="28711"/>
    <n v="6456"/>
    <n v="22.49"/>
  </r>
  <r>
    <x v="31"/>
    <x v="13"/>
    <n v="37911"/>
    <n v="35167"/>
    <n v="2744"/>
    <n v="7.8"/>
  </r>
  <r>
    <x v="31"/>
    <x v="14"/>
    <n v="41553"/>
    <n v="37911"/>
    <n v="3642"/>
    <n v="9.61"/>
  </r>
  <r>
    <x v="31"/>
    <x v="15"/>
    <n v="48762"/>
    <n v="41553"/>
    <n v="7209"/>
    <n v="17.350000000000001"/>
  </r>
  <r>
    <x v="31"/>
    <x v="16"/>
    <n v="55898"/>
    <n v="48762"/>
    <n v="7136"/>
    <n v="14.63"/>
  </r>
  <r>
    <x v="31"/>
    <x v="17"/>
    <n v="70848"/>
    <n v="55898"/>
    <n v="14950"/>
    <n v="26.75"/>
  </r>
  <r>
    <x v="31"/>
    <x v="18"/>
    <n v="82092"/>
    <n v="70848"/>
    <n v="11244"/>
    <n v="15.87"/>
  </r>
  <r>
    <x v="31"/>
    <x v="19"/>
    <n v="80625"/>
    <n v="82092"/>
    <n v="-1467"/>
    <n v="-1.79"/>
  </r>
  <r>
    <x v="31"/>
    <x v="20"/>
    <n v="77605"/>
    <n v="80625"/>
    <n v="-3020"/>
    <n v="-3.75"/>
  </r>
  <r>
    <x v="31"/>
    <x v="21"/>
    <n v="92247"/>
    <n v="77605"/>
    <n v="14642"/>
    <n v="18.87"/>
  </r>
  <r>
    <x v="32"/>
    <x v="0"/>
    <n v="230"/>
    <n v="307"/>
    <n v="-77"/>
    <n v="-25.08"/>
  </r>
  <r>
    <x v="32"/>
    <x v="1"/>
    <n v="183"/>
    <n v="230"/>
    <n v="-47"/>
    <n v="-20.43"/>
  </r>
  <r>
    <x v="32"/>
    <x v="13"/>
    <n v="111"/>
    <n v="183"/>
    <n v="-72"/>
    <n v="-39.340000000000003"/>
  </r>
  <r>
    <x v="32"/>
    <x v="14"/>
    <n v="50"/>
    <n v="111"/>
    <n v="-61"/>
    <n v="-54.95"/>
  </r>
  <r>
    <x v="32"/>
    <x v="15"/>
    <n v="0"/>
    <n v="50"/>
    <n v="-50"/>
    <n v="-100"/>
  </r>
  <r>
    <x v="32"/>
    <x v="16"/>
    <n v="0"/>
    <n v="0"/>
    <n v="0"/>
    <s v="NULL"/>
  </r>
  <r>
    <x v="32"/>
    <x v="17"/>
    <n v="0"/>
    <n v="0"/>
    <n v="0"/>
    <s v="NULL"/>
  </r>
  <r>
    <x v="32"/>
    <x v="18"/>
    <n v="74"/>
    <n v="0"/>
    <n v="74"/>
    <s v="NULL"/>
  </r>
  <r>
    <x v="32"/>
    <x v="19"/>
    <n v="54"/>
    <n v="74"/>
    <n v="-20"/>
    <n v="-27.03"/>
  </r>
  <r>
    <x v="32"/>
    <x v="20"/>
    <n v="73"/>
    <n v="54"/>
    <n v="19"/>
    <n v="35.19"/>
  </r>
  <r>
    <x v="32"/>
    <x v="21"/>
    <n v="53"/>
    <n v="73"/>
    <n v="-20"/>
    <n v="-27.4"/>
  </r>
  <r>
    <x v="33"/>
    <x v="11"/>
    <n v="33157"/>
    <n v="30153"/>
    <n v="3004"/>
    <n v="9.9600000000000009"/>
  </r>
  <r>
    <x v="33"/>
    <x v="12"/>
    <n v="33152"/>
    <n v="33157"/>
    <n v="-5"/>
    <n v="-0.02"/>
  </r>
  <r>
    <x v="33"/>
    <x v="13"/>
    <n v="25492"/>
    <n v="33152"/>
    <n v="-7660"/>
    <n v="-23.11"/>
  </r>
  <r>
    <x v="33"/>
    <x v="14"/>
    <n v="23388"/>
    <n v="25492"/>
    <n v="-2104"/>
    <n v="-8.25"/>
  </r>
  <r>
    <x v="33"/>
    <x v="15"/>
    <n v="35725"/>
    <n v="23388"/>
    <n v="12337"/>
    <n v="52.75"/>
  </r>
  <r>
    <x v="33"/>
    <x v="16"/>
    <n v="37659"/>
    <n v="35725"/>
    <n v="1934"/>
    <n v="5.41"/>
  </r>
  <r>
    <x v="33"/>
    <x v="17"/>
    <n v="44839"/>
    <n v="37659"/>
    <n v="7180"/>
    <n v="19.07"/>
  </r>
  <r>
    <x v="33"/>
    <x v="18"/>
    <n v="65476"/>
    <n v="44839"/>
    <n v="20637"/>
    <n v="46.02"/>
  </r>
  <r>
    <x v="33"/>
    <x v="19"/>
    <n v="54532"/>
    <n v="65476"/>
    <n v="-10944"/>
    <n v="-16.71"/>
  </r>
  <r>
    <x v="33"/>
    <x v="20"/>
    <n v="64534"/>
    <n v="54532"/>
    <n v="10002"/>
    <n v="18.34"/>
  </r>
  <r>
    <x v="33"/>
    <x v="21"/>
    <n v="69376"/>
    <n v="64534"/>
    <n v="4842"/>
    <n v="7.5"/>
  </r>
  <r>
    <x v="34"/>
    <x v="28"/>
    <n v="0"/>
    <n v="184"/>
    <n v="-184"/>
    <n v="-100"/>
  </r>
  <r>
    <x v="34"/>
    <x v="29"/>
    <n v="0"/>
    <n v="0"/>
    <n v="0"/>
    <s v="NULL"/>
  </r>
  <r>
    <x v="34"/>
    <x v="30"/>
    <n v="0"/>
    <n v="0"/>
    <n v="0"/>
    <s v="NULL"/>
  </r>
  <r>
    <x v="34"/>
    <x v="31"/>
    <n v="0"/>
    <n v="0"/>
    <n v="0"/>
    <s v="NULL"/>
  </r>
  <r>
    <x v="34"/>
    <x v="32"/>
    <n v="0"/>
    <n v="0"/>
    <n v="0"/>
    <s v="NULL"/>
  </r>
  <r>
    <x v="34"/>
    <x v="33"/>
    <n v="0"/>
    <n v="0"/>
    <n v="0"/>
    <s v="NULL"/>
  </r>
  <r>
    <x v="34"/>
    <x v="34"/>
    <n v="0"/>
    <n v="0"/>
    <n v="0"/>
    <s v="NULL"/>
  </r>
  <r>
    <x v="34"/>
    <x v="35"/>
    <n v="0"/>
    <n v="0"/>
    <n v="0"/>
    <s v="NULL"/>
  </r>
  <r>
    <x v="34"/>
    <x v="36"/>
    <n v="0"/>
    <n v="0"/>
    <n v="0"/>
    <s v="NULL"/>
  </r>
  <r>
    <x v="34"/>
    <x v="37"/>
    <n v="206"/>
    <n v="0"/>
    <n v="206"/>
    <s v="NULL"/>
  </r>
  <r>
    <x v="34"/>
    <x v="38"/>
    <n v="196"/>
    <n v="206"/>
    <n v="-10"/>
    <n v="-4.8499999999999996"/>
  </r>
  <r>
    <x v="34"/>
    <x v="23"/>
    <n v="160"/>
    <n v="196"/>
    <n v="-36"/>
    <n v="-18.37"/>
  </r>
  <r>
    <x v="35"/>
    <x v="11"/>
    <n v="53716"/>
    <n v="47149"/>
    <n v="6567"/>
    <n v="13.93"/>
  </r>
  <r>
    <x v="35"/>
    <x v="12"/>
    <n v="60642"/>
    <n v="53716"/>
    <n v="6926"/>
    <n v="12.89"/>
  </r>
  <r>
    <x v="35"/>
    <x v="13"/>
    <n v="73610"/>
    <n v="60642"/>
    <n v="12968"/>
    <n v="21.38"/>
  </r>
  <r>
    <x v="35"/>
    <x v="14"/>
    <n v="69360"/>
    <n v="73610"/>
    <n v="-4250"/>
    <n v="-5.77"/>
  </r>
  <r>
    <x v="35"/>
    <x v="15"/>
    <n v="78604"/>
    <n v="69360"/>
    <n v="9244"/>
    <n v="13.33"/>
  </r>
  <r>
    <x v="35"/>
    <x v="16"/>
    <n v="88950"/>
    <n v="78604"/>
    <n v="10346"/>
    <n v="13.16"/>
  </r>
  <r>
    <x v="35"/>
    <x v="17"/>
    <n v="106175"/>
    <n v="88950"/>
    <n v="17225"/>
    <n v="19.36"/>
  </r>
  <r>
    <x v="35"/>
    <x v="18"/>
    <n v="124788"/>
    <n v="106175"/>
    <n v="18613"/>
    <n v="17.53"/>
  </r>
  <r>
    <x v="35"/>
    <x v="19"/>
    <n v="142131"/>
    <n v="124788"/>
    <n v="17343"/>
    <n v="13.9"/>
  </r>
  <r>
    <x v="35"/>
    <x v="20"/>
    <n v="146449"/>
    <n v="142131"/>
    <n v="4318"/>
    <n v="3.04"/>
  </r>
  <r>
    <x v="35"/>
    <x v="21"/>
    <n v="134113"/>
    <n v="146449"/>
    <n v="-12336"/>
    <n v="-8.42"/>
  </r>
  <r>
    <x v="36"/>
    <x v="11"/>
    <n v="25"/>
    <n v="0"/>
    <n v="25"/>
    <s v="NULL"/>
  </r>
  <r>
    <x v="36"/>
    <x v="12"/>
    <n v="46"/>
    <n v="25"/>
    <n v="21"/>
    <n v="84"/>
  </r>
  <r>
    <x v="36"/>
    <x v="13"/>
    <n v="43"/>
    <n v="46"/>
    <n v="-3"/>
    <n v="-6.52"/>
  </r>
  <r>
    <x v="36"/>
    <x v="14"/>
    <n v="177"/>
    <n v="43"/>
    <n v="134"/>
    <n v="311.63"/>
  </r>
  <r>
    <x v="36"/>
    <x v="15"/>
    <n v="277"/>
    <n v="177"/>
    <n v="100"/>
    <n v="56.5"/>
  </r>
  <r>
    <x v="36"/>
    <x v="16"/>
    <n v="0"/>
    <n v="277"/>
    <n v="-277"/>
    <n v="-100"/>
  </r>
  <r>
    <x v="36"/>
    <x v="17"/>
    <n v="99"/>
    <n v="0"/>
    <n v="99"/>
    <s v="NULL"/>
  </r>
  <r>
    <x v="36"/>
    <x v="18"/>
    <n v="0"/>
    <n v="99"/>
    <n v="-99"/>
    <n v="-100"/>
  </r>
  <r>
    <x v="36"/>
    <x v="19"/>
    <n v="1009"/>
    <n v="0"/>
    <n v="1009"/>
    <s v="NULL"/>
  </r>
  <r>
    <x v="36"/>
    <x v="20"/>
    <n v="1043"/>
    <n v="1009"/>
    <n v="34"/>
    <n v="3.37"/>
  </r>
  <r>
    <x v="36"/>
    <x v="21"/>
    <n v="1219"/>
    <n v="1043"/>
    <n v="176"/>
    <n v="16.87"/>
  </r>
  <r>
    <x v="37"/>
    <x v="0"/>
    <n v="1050"/>
    <n v="971"/>
    <n v="79"/>
    <n v="8.14"/>
  </r>
  <r>
    <x v="37"/>
    <x v="1"/>
    <n v="1189"/>
    <n v="1050"/>
    <n v="139"/>
    <n v="13.24"/>
  </r>
  <r>
    <x v="37"/>
    <x v="2"/>
    <n v="20"/>
    <n v="1189"/>
    <n v="-1169"/>
    <n v="-98.32"/>
  </r>
  <r>
    <x v="37"/>
    <x v="3"/>
    <n v="18"/>
    <n v="20"/>
    <n v="-2"/>
    <n v="-10"/>
  </r>
  <r>
    <x v="37"/>
    <x v="4"/>
    <n v="33"/>
    <n v="18"/>
    <n v="15"/>
    <n v="83.33"/>
  </r>
  <r>
    <x v="37"/>
    <x v="5"/>
    <n v="35"/>
    <n v="33"/>
    <n v="2"/>
    <n v="6.06"/>
  </r>
  <r>
    <x v="37"/>
    <x v="6"/>
    <n v="35"/>
    <n v="35"/>
    <n v="0"/>
    <n v="0"/>
  </r>
  <r>
    <x v="37"/>
    <x v="7"/>
    <n v="189"/>
    <n v="35"/>
    <n v="154"/>
    <n v="440"/>
  </r>
  <r>
    <x v="37"/>
    <x v="8"/>
    <n v="147"/>
    <n v="189"/>
    <n v="-42"/>
    <n v="-22.22"/>
  </r>
  <r>
    <x v="37"/>
    <x v="9"/>
    <n v="266"/>
    <n v="147"/>
    <n v="119"/>
    <n v="80.95"/>
  </r>
  <r>
    <x v="37"/>
    <x v="10"/>
    <n v="271"/>
    <n v="266"/>
    <n v="5"/>
    <n v="1.88"/>
  </r>
  <r>
    <x v="38"/>
    <x v="11"/>
    <n v="1389"/>
    <n v="916"/>
    <n v="473"/>
    <n v="51.64"/>
  </r>
  <r>
    <x v="38"/>
    <x v="12"/>
    <n v="1438"/>
    <n v="1389"/>
    <n v="49"/>
    <n v="3.53"/>
  </r>
  <r>
    <x v="38"/>
    <x v="13"/>
    <n v="1324"/>
    <n v="1438"/>
    <n v="-114"/>
    <n v="-7.93"/>
  </r>
  <r>
    <x v="38"/>
    <x v="14"/>
    <n v="1354"/>
    <n v="1324"/>
    <n v="30"/>
    <n v="2.27"/>
  </r>
  <r>
    <x v="38"/>
    <x v="15"/>
    <n v="787"/>
    <n v="1354"/>
    <n v="-567"/>
    <n v="-41.88"/>
  </r>
  <r>
    <x v="38"/>
    <x v="16"/>
    <n v="1068"/>
    <n v="787"/>
    <n v="281"/>
    <n v="35.71"/>
  </r>
  <r>
    <x v="38"/>
    <x v="17"/>
    <n v="1141"/>
    <n v="1068"/>
    <n v="73"/>
    <n v="6.84"/>
  </r>
  <r>
    <x v="38"/>
    <x v="18"/>
    <n v="1586"/>
    <n v="1141"/>
    <n v="445"/>
    <n v="39"/>
  </r>
  <r>
    <x v="38"/>
    <x v="19"/>
    <n v="1634"/>
    <n v="1586"/>
    <n v="48"/>
    <n v="3.03"/>
  </r>
  <r>
    <x v="38"/>
    <x v="20"/>
    <n v="1412"/>
    <n v="1634"/>
    <n v="-222"/>
    <n v="-13.59"/>
  </r>
  <r>
    <x v="38"/>
    <x v="21"/>
    <n v="1600"/>
    <n v="1412"/>
    <n v="188"/>
    <n v="13.31"/>
  </r>
  <r>
    <x v="39"/>
    <x v="11"/>
    <n v="251"/>
    <n v="341"/>
    <n v="-90"/>
    <n v="-26.39"/>
  </r>
  <r>
    <x v="39"/>
    <x v="12"/>
    <n v="249"/>
    <n v="251"/>
    <n v="-2"/>
    <n v="-0.8"/>
  </r>
  <r>
    <x v="39"/>
    <x v="13"/>
    <n v="418"/>
    <n v="249"/>
    <n v="169"/>
    <n v="67.87"/>
  </r>
  <r>
    <x v="39"/>
    <x v="14"/>
    <n v="323"/>
    <n v="418"/>
    <n v="-95"/>
    <n v="-22.73"/>
  </r>
  <r>
    <x v="39"/>
    <x v="15"/>
    <n v="560"/>
    <n v="323"/>
    <n v="237"/>
    <n v="73.37"/>
  </r>
  <r>
    <x v="39"/>
    <x v="16"/>
    <n v="533"/>
    <n v="560"/>
    <n v="-27"/>
    <n v="-4.82"/>
  </r>
  <r>
    <x v="39"/>
    <x v="17"/>
    <n v="1320"/>
    <n v="533"/>
    <n v="787"/>
    <n v="147.65"/>
  </r>
  <r>
    <x v="39"/>
    <x v="18"/>
    <n v="1118"/>
    <n v="1320"/>
    <n v="-202"/>
    <n v="-15.3"/>
  </r>
  <r>
    <x v="39"/>
    <x v="19"/>
    <n v="1093"/>
    <n v="1118"/>
    <n v="-25"/>
    <n v="-2.2400000000000002"/>
  </r>
  <r>
    <x v="39"/>
    <x v="20"/>
    <n v="1587"/>
    <n v="1093"/>
    <n v="494"/>
    <n v="45.2"/>
  </r>
  <r>
    <x v="39"/>
    <x v="21"/>
    <n v="1933"/>
    <n v="1587"/>
    <n v="346"/>
    <n v="21.8"/>
  </r>
  <r>
    <x v="40"/>
    <x v="11"/>
    <n v="380"/>
    <n v="604"/>
    <n v="-224"/>
    <n v="-37.090000000000003"/>
  </r>
  <r>
    <x v="40"/>
    <x v="12"/>
    <n v="150"/>
    <n v="380"/>
    <n v="-230"/>
    <n v="-60.53"/>
  </r>
  <r>
    <x v="40"/>
    <x v="13"/>
    <n v="145"/>
    <n v="150"/>
    <n v="-5"/>
    <n v="-3.33"/>
  </r>
  <r>
    <x v="40"/>
    <x v="14"/>
    <n v="131"/>
    <n v="145"/>
    <n v="-14"/>
    <n v="-9.66"/>
  </r>
  <r>
    <x v="40"/>
    <x v="15"/>
    <n v="125"/>
    <n v="131"/>
    <n v="-6"/>
    <n v="-4.58"/>
  </r>
  <r>
    <x v="40"/>
    <x v="16"/>
    <n v="201"/>
    <n v="125"/>
    <n v="76"/>
    <n v="60.8"/>
  </r>
  <r>
    <x v="40"/>
    <x v="17"/>
    <n v="156"/>
    <n v="201"/>
    <n v="-45"/>
    <n v="-22.39"/>
  </r>
  <r>
    <x v="40"/>
    <x v="18"/>
    <n v="1538"/>
    <n v="156"/>
    <n v="1382"/>
    <n v="885.9"/>
  </r>
  <r>
    <x v="40"/>
    <x v="19"/>
    <n v="2122"/>
    <n v="1538"/>
    <n v="584"/>
    <n v="37.97"/>
  </r>
  <r>
    <x v="40"/>
    <x v="20"/>
    <n v="2481"/>
    <n v="2122"/>
    <n v="359"/>
    <n v="16.920000000000002"/>
  </r>
  <r>
    <x v="40"/>
    <x v="21"/>
    <n v="2997"/>
    <n v="2481"/>
    <n v="516"/>
    <n v="20.8"/>
  </r>
  <r>
    <x v="41"/>
    <x v="11"/>
    <n v="3818"/>
    <n v="3803"/>
    <n v="15"/>
    <n v="0.39"/>
  </r>
  <r>
    <x v="41"/>
    <x v="12"/>
    <n v="4252"/>
    <n v="3818"/>
    <n v="434"/>
    <n v="11.37"/>
  </r>
  <r>
    <x v="41"/>
    <x v="13"/>
    <n v="5074"/>
    <n v="4252"/>
    <n v="822"/>
    <n v="19.329999999999998"/>
  </r>
  <r>
    <x v="41"/>
    <x v="14"/>
    <n v="4526"/>
    <n v="5074"/>
    <n v="-548"/>
    <n v="-10.8"/>
  </r>
  <r>
    <x v="41"/>
    <x v="15"/>
    <n v="3383"/>
    <n v="4526"/>
    <n v="-1143"/>
    <n v="-25.25"/>
  </r>
  <r>
    <x v="41"/>
    <x v="16"/>
    <n v="2427"/>
    <n v="3383"/>
    <n v="-956"/>
    <n v="-28.26"/>
  </r>
  <r>
    <x v="41"/>
    <x v="17"/>
    <n v="2326"/>
    <n v="2427"/>
    <n v="-101"/>
    <n v="-4.16"/>
  </r>
  <r>
    <x v="41"/>
    <x v="18"/>
    <n v="4501"/>
    <n v="2326"/>
    <n v="2175"/>
    <n v="93.51"/>
  </r>
  <r>
    <x v="41"/>
    <x v="19"/>
    <n v="5518"/>
    <n v="4501"/>
    <n v="1017"/>
    <n v="22.59"/>
  </r>
  <r>
    <x v="41"/>
    <x v="20"/>
    <n v="3888"/>
    <n v="5518"/>
    <n v="-1630"/>
    <n v="-29.54"/>
  </r>
  <r>
    <x v="41"/>
    <x v="21"/>
    <n v="3139"/>
    <n v="3888"/>
    <n v="-749"/>
    <n v="-19.260000000000002"/>
  </r>
  <r>
    <x v="42"/>
    <x v="11"/>
    <n v="102"/>
    <n v="118"/>
    <n v="-16"/>
    <n v="-13.56"/>
  </r>
  <r>
    <x v="42"/>
    <x v="12"/>
    <n v="242"/>
    <n v="102"/>
    <n v="140"/>
    <n v="137.25"/>
  </r>
  <r>
    <x v="42"/>
    <x v="13"/>
    <n v="269"/>
    <n v="242"/>
    <n v="27"/>
    <n v="11.16"/>
  </r>
  <r>
    <x v="42"/>
    <x v="14"/>
    <n v="84"/>
    <n v="269"/>
    <n v="-185"/>
    <n v="-68.77"/>
  </r>
  <r>
    <x v="42"/>
    <x v="15"/>
    <n v="46"/>
    <n v="84"/>
    <n v="-38"/>
    <n v="-45.24"/>
  </r>
  <r>
    <x v="42"/>
    <x v="16"/>
    <n v="36"/>
    <n v="46"/>
    <n v="-10"/>
    <n v="-21.74"/>
  </r>
  <r>
    <x v="42"/>
    <x v="17"/>
    <n v="13"/>
    <n v="36"/>
    <n v="-23"/>
    <n v="-63.89"/>
  </r>
  <r>
    <x v="42"/>
    <x v="18"/>
    <n v="277"/>
    <n v="13"/>
    <n v="264"/>
    <n v="2030.77"/>
  </r>
  <r>
    <x v="42"/>
    <x v="19"/>
    <n v="271"/>
    <n v="277"/>
    <n v="-6"/>
    <n v="-2.17"/>
  </r>
  <r>
    <x v="42"/>
    <x v="20"/>
    <n v="249"/>
    <n v="271"/>
    <n v="-22"/>
    <n v="-8.1199999999999992"/>
  </r>
  <r>
    <x v="42"/>
    <x v="21"/>
    <n v="306"/>
    <n v="249"/>
    <n v="57"/>
    <n v="22.89"/>
  </r>
  <r>
    <x v="43"/>
    <x v="11"/>
    <n v="1704"/>
    <n v="1228"/>
    <n v="476"/>
    <n v="38.76"/>
  </r>
  <r>
    <x v="43"/>
    <x v="12"/>
    <n v="2175"/>
    <n v="1704"/>
    <n v="471"/>
    <n v="27.64"/>
  </r>
  <r>
    <x v="43"/>
    <x v="13"/>
    <n v="2435"/>
    <n v="2175"/>
    <n v="260"/>
    <n v="11.95"/>
  </r>
  <r>
    <x v="43"/>
    <x v="14"/>
    <n v="2515"/>
    <n v="2435"/>
    <n v="80"/>
    <n v="3.29"/>
  </r>
  <r>
    <x v="43"/>
    <x v="15"/>
    <n v="2396"/>
    <n v="2515"/>
    <n v="-119"/>
    <n v="-4.7300000000000004"/>
  </r>
  <r>
    <x v="43"/>
    <x v="16"/>
    <n v="3142"/>
    <n v="2396"/>
    <n v="746"/>
    <n v="31.14"/>
  </r>
  <r>
    <x v="43"/>
    <x v="17"/>
    <n v="3730"/>
    <n v="3142"/>
    <n v="588"/>
    <n v="18.71"/>
  </r>
  <r>
    <x v="43"/>
    <x v="18"/>
    <n v="4135"/>
    <n v="3730"/>
    <n v="405"/>
    <n v="10.86"/>
  </r>
  <r>
    <x v="43"/>
    <x v="19"/>
    <n v="3469"/>
    <n v="4135"/>
    <n v="-666"/>
    <n v="-16.11"/>
  </r>
  <r>
    <x v="43"/>
    <x v="20"/>
    <n v="3655"/>
    <n v="3469"/>
    <n v="186"/>
    <n v="5.36"/>
  </r>
  <r>
    <x v="43"/>
    <x v="21"/>
    <n v="4478"/>
    <n v="3655"/>
    <n v="823"/>
    <n v="22.52"/>
  </r>
  <r>
    <x v="44"/>
    <x v="0"/>
    <n v="23"/>
    <n v="43"/>
    <n v="-20"/>
    <n v="-46.51"/>
  </r>
  <r>
    <x v="44"/>
    <x v="1"/>
    <n v="84"/>
    <n v="23"/>
    <n v="61"/>
    <n v="265.22000000000003"/>
  </r>
  <r>
    <x v="44"/>
    <x v="2"/>
    <n v="58"/>
    <n v="84"/>
    <n v="-26"/>
    <n v="-30.95"/>
  </r>
  <r>
    <x v="44"/>
    <x v="14"/>
    <n v="23"/>
    <n v="58"/>
    <n v="-35"/>
    <n v="-60.34"/>
  </r>
  <r>
    <x v="44"/>
    <x v="15"/>
    <n v="112"/>
    <n v="23"/>
    <n v="89"/>
    <n v="386.96"/>
  </r>
  <r>
    <x v="44"/>
    <x v="16"/>
    <n v="151"/>
    <n v="112"/>
    <n v="39"/>
    <n v="34.82"/>
  </r>
  <r>
    <x v="44"/>
    <x v="17"/>
    <n v="187"/>
    <n v="151"/>
    <n v="36"/>
    <n v="23.84"/>
  </r>
  <r>
    <x v="44"/>
    <x v="18"/>
    <n v="249"/>
    <n v="187"/>
    <n v="62"/>
    <n v="33.159999999999997"/>
  </r>
  <r>
    <x v="44"/>
    <x v="19"/>
    <n v="219"/>
    <n v="249"/>
    <n v="-30"/>
    <n v="-12.05"/>
  </r>
  <r>
    <x v="44"/>
    <x v="20"/>
    <n v="108"/>
    <n v="219"/>
    <n v="-111"/>
    <n v="-50.68"/>
  </r>
  <r>
    <x v="44"/>
    <x v="21"/>
    <n v="288"/>
    <n v="108"/>
    <n v="180"/>
    <n v="166.67"/>
  </r>
  <r>
    <x v="45"/>
    <x v="11"/>
    <n v="6381"/>
    <n v="5896"/>
    <n v="485"/>
    <n v="8.23"/>
  </r>
  <r>
    <x v="45"/>
    <x v="12"/>
    <n v="5159"/>
    <n v="6381"/>
    <n v="-1222"/>
    <n v="-19.149999999999999"/>
  </r>
  <r>
    <x v="45"/>
    <x v="13"/>
    <n v="7891"/>
    <n v="5159"/>
    <n v="2732"/>
    <n v="52.96"/>
  </r>
  <r>
    <x v="45"/>
    <x v="14"/>
    <n v="12522"/>
    <n v="7891"/>
    <n v="4631"/>
    <n v="58.69"/>
  </r>
  <r>
    <x v="45"/>
    <x v="15"/>
    <n v="14241"/>
    <n v="12522"/>
    <n v="1719"/>
    <n v="13.73"/>
  </r>
  <r>
    <x v="45"/>
    <x v="16"/>
    <n v="13901"/>
    <n v="14241"/>
    <n v="-340"/>
    <n v="-2.39"/>
  </r>
  <r>
    <x v="45"/>
    <x v="17"/>
    <n v="9947"/>
    <n v="13901"/>
    <n v="-3954"/>
    <n v="-28.44"/>
  </r>
  <r>
    <x v="45"/>
    <x v="18"/>
    <n v="9724"/>
    <n v="9947"/>
    <n v="-223"/>
    <n v="-2.2400000000000002"/>
  </r>
  <r>
    <x v="45"/>
    <x v="19"/>
    <n v="10451"/>
    <n v="9724"/>
    <n v="727"/>
    <n v="7.48"/>
  </r>
  <r>
    <x v="45"/>
    <x v="20"/>
    <n v="17593"/>
    <n v="10451"/>
    <n v="7142"/>
    <n v="68.34"/>
  </r>
  <r>
    <x v="45"/>
    <x v="21"/>
    <n v="17467"/>
    <n v="17593"/>
    <n v="-126"/>
    <n v="-0.72"/>
  </r>
  <r>
    <x v="46"/>
    <x v="22"/>
    <n v="817"/>
    <n v="957"/>
    <n v="-140"/>
    <n v="-14.63"/>
  </r>
  <r>
    <x v="46"/>
    <x v="11"/>
    <n v="1213"/>
    <n v="817"/>
    <n v="396"/>
    <n v="48.47"/>
  </r>
  <r>
    <x v="46"/>
    <x v="12"/>
    <n v="1344"/>
    <n v="1213"/>
    <n v="131"/>
    <n v="10.8"/>
  </r>
  <r>
    <x v="46"/>
    <x v="13"/>
    <n v="1992"/>
    <n v="1344"/>
    <n v="648"/>
    <n v="48.21"/>
  </r>
  <r>
    <x v="46"/>
    <x v="14"/>
    <n v="2834"/>
    <n v="1992"/>
    <n v="842"/>
    <n v="42.27"/>
  </r>
  <r>
    <x v="46"/>
    <x v="15"/>
    <n v="3125"/>
    <n v="2834"/>
    <n v="291"/>
    <n v="10.27"/>
  </r>
  <r>
    <x v="46"/>
    <x v="16"/>
    <n v="3427"/>
    <n v="3125"/>
    <n v="302"/>
    <n v="9.66"/>
  </r>
  <r>
    <x v="46"/>
    <x v="17"/>
    <n v="3673"/>
    <n v="3427"/>
    <n v="246"/>
    <n v="7.18"/>
  </r>
  <r>
    <x v="46"/>
    <x v="18"/>
    <n v="3596"/>
    <n v="3673"/>
    <n v="-77"/>
    <n v="-2.1"/>
  </r>
  <r>
    <x v="46"/>
    <x v="19"/>
    <n v="4160"/>
    <n v="3596"/>
    <n v="564"/>
    <n v="15.68"/>
  </r>
  <r>
    <x v="46"/>
    <x v="20"/>
    <n v="4068"/>
    <n v="4160"/>
    <n v="-92"/>
    <n v="-2.21"/>
  </r>
  <r>
    <x v="46"/>
    <x v="23"/>
    <n v="3998"/>
    <n v="4068"/>
    <n v="-70"/>
    <n v="-1.72"/>
  </r>
  <r>
    <x v="47"/>
    <x v="11"/>
    <n v="550"/>
    <n v="418"/>
    <n v="132"/>
    <n v="31.58"/>
  </r>
  <r>
    <x v="47"/>
    <x v="12"/>
    <n v="624"/>
    <n v="550"/>
    <n v="74"/>
    <n v="13.45"/>
  </r>
  <r>
    <x v="47"/>
    <x v="13"/>
    <n v="610"/>
    <n v="624"/>
    <n v="-14"/>
    <n v="-2.2400000000000002"/>
  </r>
  <r>
    <x v="47"/>
    <x v="14"/>
    <n v="354"/>
    <n v="610"/>
    <n v="-256"/>
    <n v="-41.97"/>
  </r>
  <r>
    <x v="47"/>
    <x v="15"/>
    <n v="406"/>
    <n v="354"/>
    <n v="52"/>
    <n v="14.69"/>
  </r>
  <r>
    <x v="47"/>
    <x v="16"/>
    <n v="422"/>
    <n v="406"/>
    <n v="16"/>
    <n v="3.94"/>
  </r>
  <r>
    <x v="47"/>
    <x v="17"/>
    <n v="753"/>
    <n v="422"/>
    <n v="331"/>
    <n v="78.44"/>
  </r>
  <r>
    <x v="47"/>
    <x v="18"/>
    <n v="767"/>
    <n v="753"/>
    <n v="14"/>
    <n v="1.86"/>
  </r>
  <r>
    <x v="47"/>
    <x v="19"/>
    <n v="634"/>
    <n v="767"/>
    <n v="-133"/>
    <n v="-17.34"/>
  </r>
  <r>
    <x v="47"/>
    <x v="20"/>
    <n v="1014"/>
    <n v="634"/>
    <n v="380"/>
    <n v="59.94"/>
  </r>
  <r>
    <x v="47"/>
    <x v="21"/>
    <n v="1189"/>
    <n v="1014"/>
    <n v="175"/>
    <n v="17.260000000000002"/>
  </r>
  <r>
    <x v="48"/>
    <x v="11"/>
    <n v="15269"/>
    <n v="11444"/>
    <n v="3825"/>
    <n v="33.42"/>
  </r>
  <r>
    <x v="48"/>
    <x v="12"/>
    <n v="18075"/>
    <n v="15269"/>
    <n v="2806"/>
    <n v="18.38"/>
  </r>
  <r>
    <x v="48"/>
    <x v="13"/>
    <n v="19450"/>
    <n v="18075"/>
    <n v="1375"/>
    <n v="7.61"/>
  </r>
  <r>
    <x v="48"/>
    <x v="14"/>
    <n v="22546"/>
    <n v="19450"/>
    <n v="3096"/>
    <n v="15.92"/>
  </r>
  <r>
    <x v="48"/>
    <x v="15"/>
    <n v="24071"/>
    <n v="22546"/>
    <n v="1525"/>
    <n v="6.76"/>
  </r>
  <r>
    <x v="48"/>
    <x v="16"/>
    <n v="38330"/>
    <n v="24071"/>
    <n v="14259"/>
    <n v="59.24"/>
  </r>
  <r>
    <x v="48"/>
    <x v="17"/>
    <n v="50567"/>
    <n v="38330"/>
    <n v="12237"/>
    <n v="31.93"/>
  </r>
  <r>
    <x v="48"/>
    <x v="18"/>
    <n v="55005"/>
    <n v="50567"/>
    <n v="4438"/>
    <n v="8.7799999999999994"/>
  </r>
  <r>
    <x v="48"/>
    <x v="19"/>
    <n v="63730"/>
    <n v="55005"/>
    <n v="8725"/>
    <n v="15.86"/>
  </r>
  <r>
    <x v="48"/>
    <x v="20"/>
    <n v="69174"/>
    <n v="63730"/>
    <n v="5444"/>
    <n v="8.5399999999999991"/>
  </r>
  <r>
    <x v="48"/>
    <x v="21"/>
    <n v="97358"/>
    <n v="69174"/>
    <n v="28184"/>
    <n v="40.74"/>
  </r>
  <r>
    <x v="49"/>
    <x v="11"/>
    <n v="4203"/>
    <n v="3389"/>
    <n v="814"/>
    <n v="24.02"/>
  </r>
  <r>
    <x v="49"/>
    <x v="12"/>
    <n v="3349"/>
    <n v="4203"/>
    <n v="-854"/>
    <n v="-20.32"/>
  </r>
  <r>
    <x v="49"/>
    <x v="13"/>
    <n v="3281"/>
    <n v="3349"/>
    <n v="-68"/>
    <n v="-2.0299999999999998"/>
  </r>
  <r>
    <x v="49"/>
    <x v="14"/>
    <n v="5258"/>
    <n v="3281"/>
    <n v="1977"/>
    <n v="60.26"/>
  </r>
  <r>
    <x v="49"/>
    <x v="15"/>
    <n v="6361"/>
    <n v="5258"/>
    <n v="1103"/>
    <n v="20.98"/>
  </r>
  <r>
    <x v="49"/>
    <x v="16"/>
    <n v="6638"/>
    <n v="6361"/>
    <n v="277"/>
    <n v="4.3499999999999996"/>
  </r>
  <r>
    <x v="49"/>
    <x v="17"/>
    <n v="29139"/>
    <n v="6638"/>
    <n v="22501"/>
    <n v="338.97"/>
  </r>
  <r>
    <x v="49"/>
    <x v="18"/>
    <n v="29388"/>
    <n v="29139"/>
    <n v="249"/>
    <n v="0.85"/>
  </r>
  <r>
    <x v="49"/>
    <x v="19"/>
    <n v="24519"/>
    <n v="29388"/>
    <n v="-4869"/>
    <n v="-16.57"/>
  </r>
  <r>
    <x v="49"/>
    <x v="20"/>
    <n v="26746"/>
    <n v="24519"/>
    <n v="2227"/>
    <n v="9.08"/>
  </r>
  <r>
    <x v="49"/>
    <x v="21"/>
    <n v="23939"/>
    <n v="26746"/>
    <n v="-2807"/>
    <n v="-10.5"/>
  </r>
  <r>
    <x v="50"/>
    <x v="11"/>
    <n v="69332"/>
    <n v="69479"/>
    <n v="-147"/>
    <n v="-0.21"/>
  </r>
  <r>
    <x v="50"/>
    <x v="12"/>
    <n v="71980"/>
    <n v="69332"/>
    <n v="2648"/>
    <n v="3.82"/>
  </r>
  <r>
    <x v="50"/>
    <x v="13"/>
    <n v="83571"/>
    <n v="71980"/>
    <n v="11591"/>
    <n v="16.100000000000001"/>
  </r>
  <r>
    <x v="50"/>
    <x v="14"/>
    <n v="19169"/>
    <n v="83571"/>
    <n v="-64402"/>
    <n v="-77.06"/>
  </r>
  <r>
    <x v="50"/>
    <x v="15"/>
    <n v="20846"/>
    <n v="19169"/>
    <n v="1677"/>
    <n v="8.75"/>
  </r>
  <r>
    <x v="50"/>
    <x v="16"/>
    <n v="17637"/>
    <n v="20846"/>
    <n v="-3209"/>
    <n v="-15.39"/>
  </r>
  <r>
    <x v="50"/>
    <x v="17"/>
    <n v="11243"/>
    <n v="17637"/>
    <n v="-6394"/>
    <n v="-36.25"/>
  </r>
  <r>
    <x v="50"/>
    <x v="18"/>
    <n v="12419"/>
    <n v="11243"/>
    <n v="1176"/>
    <n v="10.46"/>
  </r>
  <r>
    <x v="50"/>
    <x v="19"/>
    <n v="16227"/>
    <n v="12419"/>
    <n v="3808"/>
    <n v="30.66"/>
  </r>
  <r>
    <x v="50"/>
    <x v="20"/>
    <n v="41604"/>
    <n v="16227"/>
    <n v="25377"/>
    <n v="156.38999999999999"/>
  </r>
  <r>
    <x v="50"/>
    <x v="21"/>
    <n v="53200"/>
    <n v="41604"/>
    <n v="11596"/>
    <n v="27.87"/>
  </r>
  <r>
    <x v="51"/>
    <x v="11"/>
    <n v="927"/>
    <n v="940"/>
    <n v="-13"/>
    <n v="-1.38"/>
  </r>
  <r>
    <x v="51"/>
    <x v="12"/>
    <n v="758"/>
    <n v="927"/>
    <n v="-169"/>
    <n v="-18.23"/>
  </r>
  <r>
    <x v="51"/>
    <x v="13"/>
    <n v="534"/>
    <n v="758"/>
    <n v="-224"/>
    <n v="-29.55"/>
  </r>
  <r>
    <x v="51"/>
    <x v="14"/>
    <n v="485"/>
    <n v="534"/>
    <n v="-49"/>
    <n v="-9.18"/>
  </r>
  <r>
    <x v="51"/>
    <x v="15"/>
    <n v="1294"/>
    <n v="485"/>
    <n v="809"/>
    <n v="166.8"/>
  </r>
  <r>
    <x v="51"/>
    <x v="16"/>
    <n v="1155"/>
    <n v="1294"/>
    <n v="-139"/>
    <n v="-10.74"/>
  </r>
  <r>
    <x v="51"/>
    <x v="17"/>
    <n v="1136"/>
    <n v="1155"/>
    <n v="-19"/>
    <n v="-1.65"/>
  </r>
  <r>
    <x v="51"/>
    <x v="18"/>
    <n v="1512"/>
    <n v="1136"/>
    <n v="376"/>
    <n v="33.1"/>
  </r>
  <r>
    <x v="51"/>
    <x v="19"/>
    <n v="4852"/>
    <n v="1512"/>
    <n v="3340"/>
    <n v="220.9"/>
  </r>
  <r>
    <x v="51"/>
    <x v="20"/>
    <n v="5416"/>
    <n v="4852"/>
    <n v="564"/>
    <n v="11.62"/>
  </r>
  <r>
    <x v="51"/>
    <x v="21"/>
    <n v="5767"/>
    <n v="5416"/>
    <n v="351"/>
    <n v="6.48"/>
  </r>
  <r>
    <x v="52"/>
    <x v="11"/>
    <n v="982"/>
    <n v="1027"/>
    <n v="-45"/>
    <n v="-4.38"/>
  </r>
  <r>
    <x v="52"/>
    <x v="12"/>
    <n v="1054"/>
    <n v="982"/>
    <n v="72"/>
    <n v="7.33"/>
  </r>
  <r>
    <x v="52"/>
    <x v="13"/>
    <n v="424"/>
    <n v="1054"/>
    <n v="-630"/>
    <n v="-59.77"/>
  </r>
  <r>
    <x v="52"/>
    <x v="14"/>
    <n v="134"/>
    <n v="424"/>
    <n v="-290"/>
    <n v="-68.400000000000006"/>
  </r>
  <r>
    <x v="52"/>
    <x v="15"/>
    <n v="208"/>
    <n v="134"/>
    <n v="74"/>
    <n v="55.22"/>
  </r>
  <r>
    <x v="52"/>
    <x v="16"/>
    <n v="115"/>
    <n v="208"/>
    <n v="-93"/>
    <n v="-44.71"/>
  </r>
  <r>
    <x v="52"/>
    <x v="17"/>
    <n v="94"/>
    <n v="115"/>
    <n v="-21"/>
    <n v="-18.260000000000002"/>
  </r>
  <r>
    <x v="52"/>
    <x v="18"/>
    <n v="72"/>
    <n v="94"/>
    <n v="-22"/>
    <n v="-23.4"/>
  </r>
  <r>
    <x v="52"/>
    <x v="19"/>
    <n v="521"/>
    <n v="72"/>
    <n v="449"/>
    <n v="623.61"/>
  </r>
  <r>
    <x v="52"/>
    <x v="20"/>
    <n v="438"/>
    <n v="521"/>
    <n v="-83"/>
    <n v="-15.93"/>
  </r>
  <r>
    <x v="52"/>
    <x v="21"/>
    <n v="223"/>
    <n v="438"/>
    <n v="-215"/>
    <n v="-49.09"/>
  </r>
  <r>
    <x v="53"/>
    <x v="11"/>
    <n v="260"/>
    <n v="321"/>
    <n v="-61"/>
    <n v="-19"/>
  </r>
  <r>
    <x v="53"/>
    <x v="12"/>
    <n v="2561"/>
    <n v="260"/>
    <n v="2301"/>
    <n v="885"/>
  </r>
  <r>
    <x v="53"/>
    <x v="13"/>
    <n v="8996"/>
    <n v="2561"/>
    <n v="6435"/>
    <n v="251.27"/>
  </r>
  <r>
    <x v="53"/>
    <x v="14"/>
    <n v="8497"/>
    <n v="8996"/>
    <n v="-499"/>
    <n v="-5.55"/>
  </r>
  <r>
    <x v="53"/>
    <x v="15"/>
    <n v="9832"/>
    <n v="8497"/>
    <n v="1335"/>
    <n v="15.71"/>
  </r>
  <r>
    <x v="53"/>
    <x v="16"/>
    <n v="10385"/>
    <n v="9832"/>
    <n v="553"/>
    <n v="5.62"/>
  </r>
  <r>
    <x v="53"/>
    <x v="17"/>
    <n v="10514"/>
    <n v="10385"/>
    <n v="129"/>
    <n v="1.24"/>
  </r>
  <r>
    <x v="53"/>
    <x v="18"/>
    <n v="8315"/>
    <n v="10514"/>
    <n v="-2199"/>
    <n v="-20.91"/>
  </r>
  <r>
    <x v="53"/>
    <x v="19"/>
    <n v="3869"/>
    <n v="8315"/>
    <n v="-4446"/>
    <n v="-53.47"/>
  </r>
  <r>
    <x v="53"/>
    <x v="20"/>
    <n v="1290"/>
    <n v="3869"/>
    <n v="-2579"/>
    <n v="-66.66"/>
  </r>
  <r>
    <x v="53"/>
    <x v="21"/>
    <n v="6886"/>
    <n v="1290"/>
    <n v="5596"/>
    <n v="433.8"/>
  </r>
  <r>
    <x v="54"/>
    <x v="11"/>
    <n v="89671"/>
    <n v="80015"/>
    <n v="9656"/>
    <n v="12.07"/>
  </r>
  <r>
    <x v="54"/>
    <x v="12"/>
    <n v="94916"/>
    <n v="89671"/>
    <n v="5245"/>
    <n v="5.85"/>
  </r>
  <r>
    <x v="54"/>
    <x v="13"/>
    <n v="64893"/>
    <n v="94916"/>
    <n v="-30023"/>
    <n v="-31.63"/>
  </r>
  <r>
    <x v="54"/>
    <x v="14"/>
    <n v="58552"/>
    <n v="64893"/>
    <n v="-6341"/>
    <n v="-9.77"/>
  </r>
  <r>
    <x v="54"/>
    <x v="15"/>
    <n v="63271"/>
    <n v="58552"/>
    <n v="4719"/>
    <n v="8.06"/>
  </r>
  <r>
    <x v="54"/>
    <x v="16"/>
    <n v="65650"/>
    <n v="63271"/>
    <n v="2379"/>
    <n v="3.76"/>
  </r>
  <r>
    <x v="54"/>
    <x v="17"/>
    <n v="96765"/>
    <n v="65650"/>
    <n v="31115"/>
    <n v="47.4"/>
  </r>
  <r>
    <x v="54"/>
    <x v="18"/>
    <n v="129790"/>
    <n v="96765"/>
    <n v="33025"/>
    <n v="34.130000000000003"/>
  </r>
  <r>
    <x v="54"/>
    <x v="19"/>
    <n v="116649"/>
    <n v="129790"/>
    <n v="-13141"/>
    <n v="-10.119999999999999"/>
  </r>
  <r>
    <x v="54"/>
    <x v="20"/>
    <n v="132020"/>
    <n v="116649"/>
    <n v="15371"/>
    <n v="13.18"/>
  </r>
  <r>
    <x v="54"/>
    <x v="21"/>
    <n v="148977"/>
    <n v="132020"/>
    <n v="16957"/>
    <n v="12.84"/>
  </r>
  <r>
    <x v="55"/>
    <x v="11"/>
    <n v="872"/>
    <n v="785"/>
    <n v="87"/>
    <n v="11.08"/>
  </r>
  <r>
    <x v="55"/>
    <x v="12"/>
    <n v="680"/>
    <n v="872"/>
    <n v="-192"/>
    <n v="-22.02"/>
  </r>
  <r>
    <x v="55"/>
    <x v="13"/>
    <n v="428"/>
    <n v="680"/>
    <n v="-252"/>
    <n v="-37.06"/>
  </r>
  <r>
    <x v="55"/>
    <x v="14"/>
    <n v="331"/>
    <n v="428"/>
    <n v="-97"/>
    <n v="-22.66"/>
  </r>
  <r>
    <x v="55"/>
    <x v="15"/>
    <n v="239"/>
    <n v="331"/>
    <n v="-92"/>
    <n v="-27.79"/>
  </r>
  <r>
    <x v="55"/>
    <x v="16"/>
    <n v="312"/>
    <n v="239"/>
    <n v="73"/>
    <n v="30.54"/>
  </r>
  <r>
    <x v="55"/>
    <x v="17"/>
    <n v="352"/>
    <n v="312"/>
    <n v="40"/>
    <n v="12.82"/>
  </r>
  <r>
    <x v="55"/>
    <x v="18"/>
    <n v="338"/>
    <n v="352"/>
    <n v="-14"/>
    <n v="-3.98"/>
  </r>
  <r>
    <x v="55"/>
    <x v="19"/>
    <n v="511"/>
    <n v="338"/>
    <n v="173"/>
    <n v="51.18"/>
  </r>
  <r>
    <x v="55"/>
    <x v="20"/>
    <n v="479"/>
    <n v="511"/>
    <n v="-32"/>
    <n v="-6.26"/>
  </r>
  <r>
    <x v="55"/>
    <x v="21"/>
    <n v="608"/>
    <n v="479"/>
    <n v="129"/>
    <n v="26.93"/>
  </r>
  <r>
    <x v="56"/>
    <x v="11"/>
    <n v="509192"/>
    <n v="416214"/>
    <n v="92978"/>
    <n v="22.34"/>
  </r>
  <r>
    <x v="56"/>
    <x v="12"/>
    <n v="616973"/>
    <n v="509192"/>
    <n v="107781"/>
    <n v="21.17"/>
  </r>
  <r>
    <x v="56"/>
    <x v="13"/>
    <n v="665483"/>
    <n v="616973"/>
    <n v="48510"/>
    <n v="7.86"/>
  </r>
  <r>
    <x v="56"/>
    <x v="14"/>
    <n v="620536"/>
    <n v="665483"/>
    <n v="-44947"/>
    <n v="-6.75"/>
  </r>
  <r>
    <x v="56"/>
    <x v="15"/>
    <n v="648499"/>
    <n v="620536"/>
    <n v="27963"/>
    <n v="4.51"/>
  </r>
  <r>
    <x v="56"/>
    <x v="16"/>
    <n v="672311"/>
    <n v="648499"/>
    <n v="23812"/>
    <n v="3.67"/>
  </r>
  <r>
    <x v="56"/>
    <x v="17"/>
    <n v="734456"/>
    <n v="672311"/>
    <n v="62145"/>
    <n v="9.24"/>
  </r>
  <r>
    <x v="56"/>
    <x v="18"/>
    <n v="1068981"/>
    <n v="734456"/>
    <n v="334525"/>
    <n v="45.55"/>
  </r>
  <r>
    <x v="56"/>
    <x v="19"/>
    <n v="1067173"/>
    <n v="1068981"/>
    <n v="-1808"/>
    <n v="-0.17"/>
  </r>
  <r>
    <x v="56"/>
    <x v="20"/>
    <n v="1185331"/>
    <n v="1067173"/>
    <n v="118158"/>
    <n v="11.07"/>
  </r>
  <r>
    <x v="57"/>
    <x v="11"/>
    <n v="16472"/>
    <n v="11506"/>
    <n v="4966"/>
    <n v="43.16"/>
  </r>
  <r>
    <x v="57"/>
    <x v="12"/>
    <n v="18537"/>
    <n v="16472"/>
    <n v="2065"/>
    <n v="12.54"/>
  </r>
  <r>
    <x v="57"/>
    <x v="13"/>
    <n v="18291"/>
    <n v="18537"/>
    <n v="-246"/>
    <n v="-1.33"/>
  </r>
  <r>
    <x v="57"/>
    <x v="14"/>
    <n v="9052"/>
    <n v="18291"/>
    <n v="-9239"/>
    <n v="-50.51"/>
  </r>
  <r>
    <x v="57"/>
    <x v="15"/>
    <n v="6553"/>
    <n v="9052"/>
    <n v="-2499"/>
    <n v="-27.61"/>
  </r>
  <r>
    <x v="57"/>
    <x v="16"/>
    <n v="3876"/>
    <n v="6553"/>
    <n v="-2677"/>
    <n v="-40.85"/>
  </r>
  <r>
    <x v="57"/>
    <x v="17"/>
    <n v="2224"/>
    <n v="3876"/>
    <n v="-1652"/>
    <n v="-42.62"/>
  </r>
  <r>
    <x v="57"/>
    <x v="18"/>
    <n v="6912"/>
    <n v="2224"/>
    <n v="4688"/>
    <n v="210.79"/>
  </r>
  <r>
    <x v="57"/>
    <x v="19"/>
    <n v="7873"/>
    <n v="6912"/>
    <n v="961"/>
    <n v="13.9"/>
  </r>
  <r>
    <x v="57"/>
    <x v="20"/>
    <n v="9216"/>
    <n v="7873"/>
    <n v="1343"/>
    <n v="17.059999999999999"/>
  </r>
  <r>
    <x v="57"/>
    <x v="21"/>
    <n v="17816"/>
    <n v="9216"/>
    <n v="8600"/>
    <n v="93.32"/>
  </r>
  <r>
    <x v="58"/>
    <x v="11"/>
    <n v="487659"/>
    <n v="443247"/>
    <n v="44412"/>
    <n v="10.02"/>
  </r>
  <r>
    <x v="58"/>
    <x v="12"/>
    <n v="543055"/>
    <n v="487659"/>
    <n v="55396"/>
    <n v="11.36"/>
  </r>
  <r>
    <x v="58"/>
    <x v="13"/>
    <n v="597207"/>
    <n v="543055"/>
    <n v="54152"/>
    <n v="9.9700000000000006"/>
  </r>
  <r>
    <x v="58"/>
    <x v="14"/>
    <n v="671455"/>
    <n v="597207"/>
    <n v="74248"/>
    <n v="12.43"/>
  </r>
  <r>
    <x v="58"/>
    <x v="15"/>
    <n v="700874"/>
    <n v="671455"/>
    <n v="29419"/>
    <n v="4.38"/>
  </r>
  <r>
    <x v="58"/>
    <x v="16"/>
    <n v="815198"/>
    <n v="700874"/>
    <n v="114324"/>
    <n v="16.309999999999999"/>
  </r>
  <r>
    <x v="58"/>
    <x v="17"/>
    <n v="891641"/>
    <n v="815198"/>
    <n v="76443"/>
    <n v="9.3800000000000008"/>
  </r>
  <r>
    <x v="58"/>
    <x v="18"/>
    <n v="1014636"/>
    <n v="891641"/>
    <n v="122995"/>
    <n v="13.79"/>
  </r>
  <r>
    <x v="58"/>
    <x v="19"/>
    <n v="1103840"/>
    <n v="1014636"/>
    <n v="89204"/>
    <n v="8.7899999999999991"/>
  </r>
  <r>
    <x v="58"/>
    <x v="20"/>
    <n v="1252968"/>
    <n v="1103840"/>
    <n v="149128"/>
    <n v="13.51"/>
  </r>
  <r>
    <x v="59"/>
    <x v="11"/>
    <n v="63576"/>
    <n v="51044"/>
    <n v="12532"/>
    <n v="24.55"/>
  </r>
  <r>
    <x v="59"/>
    <x v="12"/>
    <n v="75264"/>
    <n v="63576"/>
    <n v="11688"/>
    <n v="18.38"/>
  </r>
  <r>
    <x v="59"/>
    <x v="13"/>
    <n v="94752"/>
    <n v="75264"/>
    <n v="19488"/>
    <n v="25.89"/>
  </r>
  <r>
    <x v="59"/>
    <x v="14"/>
    <n v="117996"/>
    <n v="94752"/>
    <n v="23244"/>
    <n v="24.53"/>
  </r>
  <r>
    <x v="59"/>
    <x v="15"/>
    <n v="149026"/>
    <n v="117996"/>
    <n v="31030"/>
    <n v="26.3"/>
  </r>
  <r>
    <x v="59"/>
    <x v="16"/>
    <n v="189928"/>
    <n v="149026"/>
    <n v="40902"/>
    <n v="27.45"/>
  </r>
  <r>
    <x v="59"/>
    <x v="17"/>
    <n v="242189"/>
    <n v="189928"/>
    <n v="52261"/>
    <n v="27.52"/>
  </r>
  <r>
    <x v="59"/>
    <x v="18"/>
    <n v="262793"/>
    <n v="242189"/>
    <n v="20604"/>
    <n v="8.51"/>
  </r>
  <r>
    <x v="59"/>
    <x v="19"/>
    <n v="307528"/>
    <n v="262793"/>
    <n v="44735"/>
    <n v="17.02"/>
  </r>
  <r>
    <x v="59"/>
    <x v="20"/>
    <n v="341005"/>
    <n v="307528"/>
    <n v="33477"/>
    <n v="10.89"/>
  </r>
  <r>
    <x v="60"/>
    <x v="11"/>
    <n v="296254"/>
    <n v="254059"/>
    <n v="42195"/>
    <n v="16.61"/>
  </r>
  <r>
    <x v="60"/>
    <x v="12"/>
    <n v="333280"/>
    <n v="296254"/>
    <n v="37026"/>
    <n v="12.5"/>
  </r>
  <r>
    <x v="60"/>
    <x v="13"/>
    <n v="406638"/>
    <n v="333280"/>
    <n v="73358"/>
    <n v="22.01"/>
  </r>
  <r>
    <x v="60"/>
    <x v="14"/>
    <n v="472150"/>
    <n v="406638"/>
    <n v="65512"/>
    <n v="16.11"/>
  </r>
  <r>
    <x v="60"/>
    <x v="15"/>
    <n v="527437"/>
    <n v="472150"/>
    <n v="55287"/>
    <n v="11.71"/>
  </r>
  <r>
    <x v="60"/>
    <x v="16"/>
    <n v="611425"/>
    <n v="527437"/>
    <n v="83988"/>
    <n v="15.92"/>
  </r>
  <r>
    <x v="60"/>
    <x v="17"/>
    <n v="711996"/>
    <n v="611425"/>
    <n v="100571"/>
    <n v="16.45"/>
  </r>
  <r>
    <x v="60"/>
    <x v="18"/>
    <n v="797337"/>
    <n v="711996"/>
    <n v="85341"/>
    <n v="11.99"/>
  </r>
  <r>
    <x v="60"/>
    <x v="19"/>
    <n v="850551"/>
    <n v="797337"/>
    <n v="53214"/>
    <n v="6.67"/>
  </r>
  <r>
    <x v="60"/>
    <x v="20"/>
    <n v="1020692"/>
    <n v="850551"/>
    <n v="170141"/>
    <n v="20"/>
  </r>
  <r>
    <x v="61"/>
    <x v="24"/>
    <n v="1044"/>
    <n v="2179"/>
    <n v="-1135"/>
    <n v="-52.09"/>
  </r>
  <r>
    <x v="61"/>
    <x v="25"/>
    <n v="1018"/>
    <n v="1044"/>
    <n v="-26"/>
    <n v="-2.4900000000000002"/>
  </r>
  <r>
    <x v="61"/>
    <x v="26"/>
    <n v="648"/>
    <n v="1018"/>
    <n v="-370"/>
    <n v="-36.35"/>
  </r>
  <r>
    <x v="61"/>
    <x v="14"/>
    <n v="1090"/>
    <n v="648"/>
    <n v="442"/>
    <n v="68.209999999999994"/>
  </r>
  <r>
    <x v="61"/>
    <x v="15"/>
    <n v="582"/>
    <n v="1090"/>
    <n v="-508"/>
    <n v="-46.61"/>
  </r>
  <r>
    <x v="61"/>
    <x v="16"/>
    <n v="557"/>
    <n v="582"/>
    <n v="-25"/>
    <n v="-4.3"/>
  </r>
  <r>
    <x v="61"/>
    <x v="17"/>
    <n v="4195"/>
    <n v="557"/>
    <n v="3638"/>
    <n v="653.14"/>
  </r>
  <r>
    <x v="61"/>
    <x v="18"/>
    <n v="7986"/>
    <n v="4195"/>
    <n v="3791"/>
    <n v="90.37"/>
  </r>
  <r>
    <x v="61"/>
    <x v="19"/>
    <n v="6864"/>
    <n v="7986"/>
    <n v="-1122"/>
    <n v="-14.05"/>
  </r>
  <r>
    <x v="61"/>
    <x v="20"/>
    <n v="6343"/>
    <n v="6864"/>
    <n v="-521"/>
    <n v="-7.59"/>
  </r>
  <r>
    <x v="61"/>
    <x v="21"/>
    <n v="4786"/>
    <n v="6343"/>
    <n v="-1557"/>
    <n v="-24.55"/>
  </r>
  <r>
    <x v="62"/>
    <x v="11"/>
    <n v="24618"/>
    <n v="17091"/>
    <n v="7527"/>
    <n v="44.04"/>
  </r>
  <r>
    <x v="62"/>
    <x v="12"/>
    <n v="36368"/>
    <n v="24618"/>
    <n v="11750"/>
    <n v="47.73"/>
  </r>
  <r>
    <x v="62"/>
    <x v="13"/>
    <n v="45501"/>
    <n v="36368"/>
    <n v="9133"/>
    <n v="25.11"/>
  </r>
  <r>
    <x v="62"/>
    <x v="14"/>
    <n v="46797"/>
    <n v="45501"/>
    <n v="1296"/>
    <n v="2.85"/>
  </r>
  <r>
    <x v="62"/>
    <x v="15"/>
    <n v="45850"/>
    <n v="46797"/>
    <n v="-947"/>
    <n v="-2.02"/>
  </r>
  <r>
    <x v="62"/>
    <x v="16"/>
    <n v="42962"/>
    <n v="45850"/>
    <n v="-2888"/>
    <n v="-6.3"/>
  </r>
  <r>
    <x v="62"/>
    <x v="17"/>
    <n v="39559"/>
    <n v="42962"/>
    <n v="-3403"/>
    <n v="-7.92"/>
  </r>
  <r>
    <x v="62"/>
    <x v="18"/>
    <n v="36824"/>
    <n v="39559"/>
    <n v="-2735"/>
    <n v="-6.91"/>
  </r>
  <r>
    <x v="62"/>
    <x v="19"/>
    <n v="29910"/>
    <n v="36824"/>
    <n v="-6914"/>
    <n v="-18.78"/>
  </r>
  <r>
    <x v="62"/>
    <x v="20"/>
    <n v="13502"/>
    <n v="29910"/>
    <n v="-16408"/>
    <n v="-54.86"/>
  </r>
  <r>
    <x v="62"/>
    <x v="21"/>
    <n v="13046"/>
    <n v="13502"/>
    <n v="-456"/>
    <n v="-3.38"/>
  </r>
  <r>
    <x v="63"/>
    <x v="11"/>
    <n v="1068"/>
    <n v="1304"/>
    <n v="-236"/>
    <n v="-18.100000000000001"/>
  </r>
  <r>
    <x v="63"/>
    <x v="12"/>
    <n v="728"/>
    <n v="1068"/>
    <n v="-340"/>
    <n v="-31.84"/>
  </r>
  <r>
    <x v="63"/>
    <x v="13"/>
    <n v="1119"/>
    <n v="728"/>
    <n v="391"/>
    <n v="53.71"/>
  </r>
  <r>
    <x v="63"/>
    <x v="14"/>
    <n v="1091"/>
    <n v="1119"/>
    <n v="-28"/>
    <n v="-2.5"/>
  </r>
  <r>
    <x v="63"/>
    <x v="15"/>
    <n v="1311"/>
    <n v="1091"/>
    <n v="220"/>
    <n v="20.16"/>
  </r>
  <r>
    <x v="63"/>
    <x v="16"/>
    <n v="6928"/>
    <n v="1311"/>
    <n v="5617"/>
    <n v="428.45"/>
  </r>
  <r>
    <x v="63"/>
    <x v="17"/>
    <n v="9298"/>
    <n v="6928"/>
    <n v="2370"/>
    <n v="34.21"/>
  </r>
  <r>
    <x v="63"/>
    <x v="18"/>
    <n v="11591"/>
    <n v="9298"/>
    <n v="2293"/>
    <n v="24.66"/>
  </r>
  <r>
    <x v="63"/>
    <x v="19"/>
    <n v="12179"/>
    <n v="11591"/>
    <n v="588"/>
    <n v="5.07"/>
  </r>
  <r>
    <x v="63"/>
    <x v="20"/>
    <n v="15827"/>
    <n v="12179"/>
    <n v="3648"/>
    <n v="29.95"/>
  </r>
  <r>
    <x v="63"/>
    <x v="21"/>
    <n v="13312"/>
    <n v="15827"/>
    <n v="-2515"/>
    <n v="-15.89"/>
  </r>
  <r>
    <x v="64"/>
    <x v="11"/>
    <n v="2456"/>
    <n v="1877"/>
    <n v="579"/>
    <n v="30.85"/>
  </r>
  <r>
    <x v="64"/>
    <x v="12"/>
    <n v="2373"/>
    <n v="2456"/>
    <n v="-83"/>
    <n v="-3.38"/>
  </r>
  <r>
    <x v="64"/>
    <x v="13"/>
    <n v="2717"/>
    <n v="2373"/>
    <n v="344"/>
    <n v="14.5"/>
  </r>
  <r>
    <x v="64"/>
    <x v="14"/>
    <n v="2891"/>
    <n v="2717"/>
    <n v="174"/>
    <n v="6.4"/>
  </r>
  <r>
    <x v="64"/>
    <x v="15"/>
    <n v="4001"/>
    <n v="2891"/>
    <n v="1110"/>
    <n v="38.4"/>
  </r>
  <r>
    <x v="64"/>
    <x v="16"/>
    <n v="3508"/>
    <n v="4001"/>
    <n v="-493"/>
    <n v="-12.32"/>
  </r>
  <r>
    <x v="64"/>
    <x v="17"/>
    <n v="3382"/>
    <n v="3508"/>
    <n v="-126"/>
    <n v="-3.59"/>
  </r>
  <r>
    <x v="64"/>
    <x v="18"/>
    <n v="3575"/>
    <n v="3382"/>
    <n v="193"/>
    <n v="5.71"/>
  </r>
  <r>
    <x v="64"/>
    <x v="19"/>
    <n v="1864"/>
    <n v="3575"/>
    <n v="-1711"/>
    <n v="-47.86"/>
  </r>
  <r>
    <x v="64"/>
    <x v="20"/>
    <n v="1704"/>
    <n v="1864"/>
    <n v="-160"/>
    <n v="-8.58"/>
  </r>
  <r>
    <x v="64"/>
    <x v="21"/>
    <n v="1130"/>
    <n v="1704"/>
    <n v="-574"/>
    <n v="-33.69"/>
  </r>
  <r>
    <x v="65"/>
    <x v="11"/>
    <n v="8242"/>
    <n v="8164"/>
    <n v="78"/>
    <n v="0.96"/>
  </r>
  <r>
    <x v="65"/>
    <x v="12"/>
    <n v="8307"/>
    <n v="8242"/>
    <n v="65"/>
    <n v="0.79"/>
  </r>
  <r>
    <x v="65"/>
    <x v="13"/>
    <n v="4987"/>
    <n v="8307"/>
    <n v="-3320"/>
    <n v="-39.97"/>
  </r>
  <r>
    <x v="65"/>
    <x v="14"/>
    <n v="4242"/>
    <n v="4987"/>
    <n v="-745"/>
    <n v="-14.94"/>
  </r>
  <r>
    <x v="65"/>
    <x v="15"/>
    <n v="4144"/>
    <n v="4242"/>
    <n v="-98"/>
    <n v="-2.31"/>
  </r>
  <r>
    <x v="65"/>
    <x v="16"/>
    <n v="3421"/>
    <n v="4144"/>
    <n v="-723"/>
    <n v="-17.45"/>
  </r>
  <r>
    <x v="65"/>
    <x v="17"/>
    <n v="2883"/>
    <n v="3421"/>
    <n v="-538"/>
    <n v="-15.73"/>
  </r>
  <r>
    <x v="65"/>
    <x v="18"/>
    <n v="2570"/>
    <n v="2883"/>
    <n v="-313"/>
    <n v="-10.86"/>
  </r>
  <r>
    <x v="65"/>
    <x v="19"/>
    <n v="1037"/>
    <n v="2570"/>
    <n v="-1533"/>
    <n v="-59.65"/>
  </r>
  <r>
    <x v="65"/>
    <x v="20"/>
    <n v="605"/>
    <n v="1037"/>
    <n v="-432"/>
    <n v="-41.66"/>
  </r>
  <r>
    <x v="65"/>
    <x v="21"/>
    <n v="183"/>
    <n v="605"/>
    <n v="-422"/>
    <n v="-69.75"/>
  </r>
  <r>
    <x v="66"/>
    <x v="11"/>
    <n v="66736"/>
    <n v="69023"/>
    <n v="-2287"/>
    <n v="-3.31"/>
  </r>
  <r>
    <x v="66"/>
    <x v="12"/>
    <n v="75896"/>
    <n v="66736"/>
    <n v="9160"/>
    <n v="13.73"/>
  </r>
  <r>
    <x v="66"/>
    <x v="13"/>
    <n v="83415"/>
    <n v="75896"/>
    <n v="7519"/>
    <n v="9.91"/>
  </r>
  <r>
    <x v="66"/>
    <x v="14"/>
    <n v="100646"/>
    <n v="83415"/>
    <n v="17231"/>
    <n v="20.66"/>
  </r>
  <r>
    <x v="66"/>
    <x v="15"/>
    <n v="107288"/>
    <n v="100646"/>
    <n v="6642"/>
    <n v="6.6"/>
  </r>
  <r>
    <x v="66"/>
    <x v="16"/>
    <n v="111334"/>
    <n v="107288"/>
    <n v="4046"/>
    <n v="3.77"/>
  </r>
  <r>
    <x v="66"/>
    <x v="17"/>
    <n v="125428"/>
    <n v="111334"/>
    <n v="14094"/>
    <n v="12.66"/>
  </r>
  <r>
    <x v="66"/>
    <x v="18"/>
    <n v="148228"/>
    <n v="125428"/>
    <n v="22800"/>
    <n v="18.18"/>
  </r>
  <r>
    <x v="66"/>
    <x v="19"/>
    <n v="162785"/>
    <n v="148228"/>
    <n v="14557"/>
    <n v="9.82"/>
  </r>
  <r>
    <x v="66"/>
    <x v="20"/>
    <n v="169678"/>
    <n v="162785"/>
    <n v="6893"/>
    <n v="4.2300000000000004"/>
  </r>
  <r>
    <x v="66"/>
    <x v="21"/>
    <n v="226020"/>
    <n v="169678"/>
    <n v="56342"/>
    <n v="33.21"/>
  </r>
  <r>
    <x v="67"/>
    <x v="11"/>
    <n v="446090"/>
    <n v="427054"/>
    <n v="19036"/>
    <n v="4.46"/>
  </r>
  <r>
    <x v="67"/>
    <x v="12"/>
    <n v="520237"/>
    <n v="446090"/>
    <n v="74147"/>
    <n v="16.62"/>
  </r>
  <r>
    <x v="67"/>
    <x v="13"/>
    <n v="574450"/>
    <n v="520237"/>
    <n v="54213"/>
    <n v="10.42"/>
  </r>
  <r>
    <x v="67"/>
    <x v="14"/>
    <n v="652056"/>
    <n v="574450"/>
    <n v="77606"/>
    <n v="13.51"/>
  </r>
  <r>
    <x v="67"/>
    <x v="15"/>
    <n v="672987"/>
    <n v="652056"/>
    <n v="20931"/>
    <n v="3.21"/>
  </r>
  <r>
    <x v="67"/>
    <x v="16"/>
    <n v="713769"/>
    <n v="672987"/>
    <n v="40782"/>
    <n v="6.06"/>
  </r>
  <r>
    <x v="67"/>
    <x v="17"/>
    <n v="728702"/>
    <n v="713769"/>
    <n v="14933"/>
    <n v="2.09"/>
  </r>
  <r>
    <x v="67"/>
    <x v="18"/>
    <n v="772767"/>
    <n v="728702"/>
    <n v="44065"/>
    <n v="6.05"/>
  </r>
  <r>
    <x v="67"/>
    <x v="19"/>
    <n v="1166015"/>
    <n v="772767"/>
    <n v="393248"/>
    <n v="50.89"/>
  </r>
  <r>
    <x v="67"/>
    <x v="20"/>
    <n v="1213606"/>
    <n v="1166015"/>
    <n v="47591"/>
    <n v="4.08"/>
  </r>
  <r>
    <x v="68"/>
    <x v="11"/>
    <n v="376040"/>
    <n v="342508"/>
    <n v="33532"/>
    <n v="9.7899999999999991"/>
  </r>
  <r>
    <x v="68"/>
    <x v="12"/>
    <n v="447913"/>
    <n v="376040"/>
    <n v="71873"/>
    <n v="19.11"/>
  </r>
  <r>
    <x v="68"/>
    <x v="13"/>
    <n v="499488"/>
    <n v="447913"/>
    <n v="51575"/>
    <n v="11.51"/>
  </r>
  <r>
    <x v="68"/>
    <x v="14"/>
    <n v="506712"/>
    <n v="499488"/>
    <n v="7224"/>
    <n v="1.45"/>
  </r>
  <r>
    <x v="68"/>
    <x v="15"/>
    <n v="534858"/>
    <n v="506712"/>
    <n v="28146"/>
    <n v="5.55"/>
  </r>
  <r>
    <x v="68"/>
    <x v="16"/>
    <n v="563756"/>
    <n v="534858"/>
    <n v="28898"/>
    <n v="5.4"/>
  </r>
  <r>
    <x v="68"/>
    <x v="17"/>
    <n v="640166"/>
    <n v="563756"/>
    <n v="76410"/>
    <n v="13.55"/>
  </r>
  <r>
    <x v="68"/>
    <x v="18"/>
    <n v="668170"/>
    <n v="640166"/>
    <n v="28004"/>
    <n v="4.37"/>
  </r>
  <r>
    <x v="68"/>
    <x v="19"/>
    <n v="1060998"/>
    <n v="668170"/>
    <n v="392828"/>
    <n v="58.79"/>
  </r>
  <r>
    <x v="68"/>
    <x v="20"/>
    <n v="1132626"/>
    <n v="1060998"/>
    <n v="71628"/>
    <n v="6.75"/>
  </r>
  <r>
    <x v="69"/>
    <x v="11"/>
    <n v="33"/>
    <n v="55"/>
    <n v="-22"/>
    <n v="-40"/>
  </r>
  <r>
    <x v="69"/>
    <x v="12"/>
    <n v="18"/>
    <n v="33"/>
    <n v="-15"/>
    <n v="-45.45"/>
  </r>
  <r>
    <x v="69"/>
    <x v="13"/>
    <n v="27"/>
    <n v="18"/>
    <n v="9"/>
    <n v="50"/>
  </r>
  <r>
    <x v="69"/>
    <x v="14"/>
    <n v="42"/>
    <n v="27"/>
    <n v="15"/>
    <n v="55.56"/>
  </r>
  <r>
    <x v="69"/>
    <x v="15"/>
    <n v="36"/>
    <n v="42"/>
    <n v="-6"/>
    <n v="-14.29"/>
  </r>
  <r>
    <x v="69"/>
    <x v="16"/>
    <n v="63"/>
    <n v="36"/>
    <n v="27"/>
    <n v="75"/>
  </r>
  <r>
    <x v="69"/>
    <x v="17"/>
    <n v="106"/>
    <n v="63"/>
    <n v="43"/>
    <n v="68.25"/>
  </r>
  <r>
    <x v="69"/>
    <x v="18"/>
    <n v="39"/>
    <n v="106"/>
    <n v="-67"/>
    <n v="-63.21"/>
  </r>
  <r>
    <x v="69"/>
    <x v="19"/>
    <n v="5"/>
    <n v="39"/>
    <n v="-34"/>
    <n v="-87.18"/>
  </r>
  <r>
    <x v="69"/>
    <x v="20"/>
    <n v="4"/>
    <n v="5"/>
    <n v="-1"/>
    <n v="-20"/>
  </r>
  <r>
    <x v="69"/>
    <x v="21"/>
    <n v="3"/>
    <n v="4"/>
    <n v="-1"/>
    <n v="-25"/>
  </r>
  <r>
    <x v="70"/>
    <x v="11"/>
    <n v="1569"/>
    <n v="1421"/>
    <n v="148"/>
    <n v="10.42"/>
  </r>
  <r>
    <x v="70"/>
    <x v="12"/>
    <n v="2004"/>
    <n v="1569"/>
    <n v="435"/>
    <n v="27.72"/>
  </r>
  <r>
    <x v="70"/>
    <x v="13"/>
    <n v="666"/>
    <n v="2004"/>
    <n v="-1338"/>
    <n v="-66.77"/>
  </r>
  <r>
    <x v="70"/>
    <x v="14"/>
    <n v="231"/>
    <n v="666"/>
    <n v="-435"/>
    <n v="-65.319999999999993"/>
  </r>
  <r>
    <x v="70"/>
    <x v="15"/>
    <n v="484"/>
    <n v="231"/>
    <n v="253"/>
    <n v="109.52"/>
  </r>
  <r>
    <x v="70"/>
    <x v="16"/>
    <n v="121"/>
    <n v="484"/>
    <n v="-363"/>
    <n v="-75"/>
  </r>
  <r>
    <x v="70"/>
    <x v="17"/>
    <n v="160"/>
    <n v="121"/>
    <n v="39"/>
    <n v="32.229999999999997"/>
  </r>
  <r>
    <x v="70"/>
    <x v="18"/>
    <n v="184"/>
    <n v="160"/>
    <n v="24"/>
    <n v="15"/>
  </r>
  <r>
    <x v="70"/>
    <x v="19"/>
    <n v="541"/>
    <n v="184"/>
    <n v="357"/>
    <n v="194.02"/>
  </r>
  <r>
    <x v="70"/>
    <x v="20"/>
    <n v="426"/>
    <n v="541"/>
    <n v="-115"/>
    <n v="-21.26"/>
  </r>
  <r>
    <x v="70"/>
    <x v="21"/>
    <n v="1247"/>
    <n v="426"/>
    <n v="821"/>
    <n v="192.72"/>
  </r>
  <r>
    <x v="71"/>
    <x v="11"/>
    <n v="7342"/>
    <n v="5891"/>
    <n v="1451"/>
    <n v="24.63"/>
  </r>
  <r>
    <x v="71"/>
    <x v="12"/>
    <n v="7332"/>
    <n v="7342"/>
    <n v="-10"/>
    <n v="-0.14000000000000001"/>
  </r>
  <r>
    <x v="71"/>
    <x v="13"/>
    <n v="9829"/>
    <n v="7332"/>
    <n v="2497"/>
    <n v="34.06"/>
  </r>
  <r>
    <x v="71"/>
    <x v="14"/>
    <n v="10616"/>
    <n v="9829"/>
    <n v="787"/>
    <n v="8.01"/>
  </r>
  <r>
    <x v="71"/>
    <x v="15"/>
    <n v="8474"/>
    <n v="10616"/>
    <n v="-2142"/>
    <n v="-20.18"/>
  </r>
  <r>
    <x v="71"/>
    <x v="16"/>
    <n v="19480"/>
    <n v="8474"/>
    <n v="11006"/>
    <n v="129.88"/>
  </r>
  <r>
    <x v="71"/>
    <x v="17"/>
    <n v="25337"/>
    <n v="19480"/>
    <n v="5857"/>
    <n v="30.07"/>
  </r>
  <r>
    <x v="71"/>
    <x v="18"/>
    <n v="23019"/>
    <n v="25337"/>
    <n v="-2318"/>
    <n v="-9.15"/>
  </r>
  <r>
    <x v="71"/>
    <x v="19"/>
    <n v="21719"/>
    <n v="23019"/>
    <n v="-1300"/>
    <n v="-5.65"/>
  </r>
  <r>
    <x v="71"/>
    <x v="20"/>
    <n v="11299"/>
    <n v="21719"/>
    <n v="-10420"/>
    <n v="-47.98"/>
  </r>
  <r>
    <x v="71"/>
    <x v="21"/>
    <n v="11058"/>
    <n v="11299"/>
    <n v="-241"/>
    <n v="-2.13"/>
  </r>
  <r>
    <x v="72"/>
    <x v="11"/>
    <n v="232"/>
    <n v="127"/>
    <n v="105"/>
    <n v="82.68"/>
  </r>
  <r>
    <x v="72"/>
    <x v="12"/>
    <n v="297"/>
    <n v="232"/>
    <n v="65"/>
    <n v="28.02"/>
  </r>
  <r>
    <x v="72"/>
    <x v="13"/>
    <n v="358"/>
    <n v="297"/>
    <n v="61"/>
    <n v="20.54"/>
  </r>
  <r>
    <x v="72"/>
    <x v="14"/>
    <n v="245"/>
    <n v="358"/>
    <n v="-113"/>
    <n v="-31.56"/>
  </r>
  <r>
    <x v="72"/>
    <x v="15"/>
    <n v="289"/>
    <n v="245"/>
    <n v="44"/>
    <n v="17.96"/>
  </r>
  <r>
    <x v="72"/>
    <x v="16"/>
    <n v="247"/>
    <n v="289"/>
    <n v="-42"/>
    <n v="-14.53"/>
  </r>
  <r>
    <x v="72"/>
    <x v="17"/>
    <n v="62"/>
    <n v="247"/>
    <n v="-185"/>
    <n v="-74.900000000000006"/>
  </r>
  <r>
    <x v="72"/>
    <x v="18"/>
    <n v="8174"/>
    <n v="62"/>
    <n v="8112"/>
    <n v="13083.87"/>
  </r>
  <r>
    <x v="72"/>
    <x v="19"/>
    <n v="7795"/>
    <n v="8174"/>
    <n v="-379"/>
    <n v="-4.6399999999999997"/>
  </r>
  <r>
    <x v="72"/>
    <x v="20"/>
    <n v="7818"/>
    <n v="7795"/>
    <n v="23"/>
    <n v="0.3"/>
  </r>
  <r>
    <x v="72"/>
    <x v="21"/>
    <n v="7688"/>
    <n v="7818"/>
    <n v="-130"/>
    <n v="-1.66"/>
  </r>
  <r>
    <x v="73"/>
    <x v="11"/>
    <n v="70419"/>
    <n v="59804"/>
    <n v="10615"/>
    <n v="17.75"/>
  </r>
  <r>
    <x v="73"/>
    <x v="12"/>
    <n v="81455"/>
    <n v="70419"/>
    <n v="11036"/>
    <n v="15.67"/>
  </r>
  <r>
    <x v="73"/>
    <x v="13"/>
    <n v="102252"/>
    <n v="81455"/>
    <n v="20797"/>
    <n v="25.53"/>
  </r>
  <r>
    <x v="73"/>
    <x v="14"/>
    <n v="99424"/>
    <n v="102252"/>
    <n v="-2828"/>
    <n v="-2.77"/>
  </r>
  <r>
    <x v="73"/>
    <x v="15"/>
    <n v="113773"/>
    <n v="99424"/>
    <n v="14349"/>
    <n v="14.43"/>
  </r>
  <r>
    <x v="73"/>
    <x v="16"/>
    <n v="130049"/>
    <n v="113773"/>
    <n v="16276"/>
    <n v="14.31"/>
  </r>
  <r>
    <x v="73"/>
    <x v="17"/>
    <n v="173058"/>
    <n v="130049"/>
    <n v="43009"/>
    <n v="33.07"/>
  </r>
  <r>
    <x v="73"/>
    <x v="18"/>
    <n v="202984"/>
    <n v="173058"/>
    <n v="29926"/>
    <n v="17.29"/>
  </r>
  <r>
    <x v="73"/>
    <x v="19"/>
    <n v="210208"/>
    <n v="202984"/>
    <n v="7224"/>
    <n v="3.56"/>
  </r>
  <r>
    <x v="73"/>
    <x v="20"/>
    <n v="210707"/>
    <n v="210208"/>
    <n v="499"/>
    <n v="0.24"/>
  </r>
  <r>
    <x v="73"/>
    <x v="21"/>
    <n v="221626"/>
    <n v="210707"/>
    <n v="10919"/>
    <n v="5.18"/>
  </r>
  <r>
    <x v="74"/>
    <x v="11"/>
    <n v="1380"/>
    <n v="1127"/>
    <n v="253"/>
    <n v="22.45"/>
  </r>
  <r>
    <x v="74"/>
    <x v="12"/>
    <n v="363"/>
    <n v="1380"/>
    <n v="-1017"/>
    <n v="-73.7"/>
  </r>
  <r>
    <x v="74"/>
    <x v="13"/>
    <n v="700"/>
    <n v="363"/>
    <n v="337"/>
    <n v="92.84"/>
  </r>
  <r>
    <x v="74"/>
    <x v="14"/>
    <n v="1091"/>
    <n v="700"/>
    <n v="391"/>
    <n v="55.86"/>
  </r>
  <r>
    <x v="74"/>
    <x v="15"/>
    <n v="1366"/>
    <n v="1091"/>
    <n v="275"/>
    <n v="25.21"/>
  </r>
  <r>
    <x v="74"/>
    <x v="16"/>
    <n v="2397"/>
    <n v="1366"/>
    <n v="1031"/>
    <n v="75.48"/>
  </r>
  <r>
    <x v="74"/>
    <x v="17"/>
    <n v="1996"/>
    <n v="2397"/>
    <n v="-401"/>
    <n v="-16.73"/>
  </r>
  <r>
    <x v="74"/>
    <x v="18"/>
    <n v="3670"/>
    <n v="1996"/>
    <n v="1674"/>
    <n v="83.87"/>
  </r>
  <r>
    <x v="74"/>
    <x v="19"/>
    <n v="2901"/>
    <n v="3670"/>
    <n v="-769"/>
    <n v="-20.95"/>
  </r>
  <r>
    <x v="74"/>
    <x v="20"/>
    <n v="2618"/>
    <n v="2901"/>
    <n v="-283"/>
    <n v="-9.76"/>
  </r>
  <r>
    <x v="74"/>
    <x v="21"/>
    <n v="2740"/>
    <n v="2618"/>
    <n v="122"/>
    <n v="4.66"/>
  </r>
  <r>
    <x v="75"/>
    <x v="11"/>
    <n v="24801"/>
    <n v="25066"/>
    <n v="-265"/>
    <n v="-1.06"/>
  </r>
  <r>
    <x v="75"/>
    <x v="12"/>
    <n v="22334"/>
    <n v="24801"/>
    <n v="-2467"/>
    <n v="-9.9499999999999993"/>
  </r>
  <r>
    <x v="75"/>
    <x v="13"/>
    <n v="24495"/>
    <n v="22334"/>
    <n v="2161"/>
    <n v="9.68"/>
  </r>
  <r>
    <x v="75"/>
    <x v="14"/>
    <n v="25264"/>
    <n v="24495"/>
    <n v="769"/>
    <n v="3.14"/>
  </r>
  <r>
    <x v="75"/>
    <x v="15"/>
    <n v="29202"/>
    <n v="25264"/>
    <n v="3938"/>
    <n v="15.59"/>
  </r>
  <r>
    <x v="75"/>
    <x v="16"/>
    <n v="17491"/>
    <n v="29202"/>
    <n v="-11711"/>
    <n v="-40.1"/>
  </r>
  <r>
    <x v="75"/>
    <x v="17"/>
    <n v="17222"/>
    <n v="17491"/>
    <n v="-269"/>
    <n v="-1.54"/>
  </r>
  <r>
    <x v="75"/>
    <x v="18"/>
    <n v="8103"/>
    <n v="17222"/>
    <n v="-9119"/>
    <n v="-52.95"/>
  </r>
  <r>
    <x v="75"/>
    <x v="19"/>
    <n v="6785"/>
    <n v="8103"/>
    <n v="-1318"/>
    <n v="-16.27"/>
  </r>
  <r>
    <x v="75"/>
    <x v="20"/>
    <n v="4182"/>
    <n v="6785"/>
    <n v="-2603"/>
    <n v="-38.36"/>
  </r>
  <r>
    <x v="75"/>
    <x v="21"/>
    <n v="3334"/>
    <n v="4182"/>
    <n v="-848"/>
    <n v="-20.28"/>
  </r>
  <r>
    <x v="76"/>
    <x v="11"/>
    <n v="69233"/>
    <n v="54355"/>
    <n v="14878"/>
    <n v="27.37"/>
  </r>
  <r>
    <x v="76"/>
    <x v="12"/>
    <n v="84220"/>
    <n v="69233"/>
    <n v="14987"/>
    <n v="21.65"/>
  </r>
  <r>
    <x v="76"/>
    <x v="13"/>
    <n v="96243"/>
    <n v="84220"/>
    <n v="12023"/>
    <n v="14.28"/>
  </r>
  <r>
    <x v="76"/>
    <x v="14"/>
    <n v="108545"/>
    <n v="96243"/>
    <n v="12302"/>
    <n v="12.78"/>
  </r>
  <r>
    <x v="76"/>
    <x v="15"/>
    <n v="118988"/>
    <n v="108545"/>
    <n v="10443"/>
    <n v="9.6199999999999992"/>
  </r>
  <r>
    <x v="76"/>
    <x v="16"/>
    <n v="131503"/>
    <n v="118988"/>
    <n v="12515"/>
    <n v="10.52"/>
  </r>
  <r>
    <x v="76"/>
    <x v="17"/>
    <n v="146376"/>
    <n v="131503"/>
    <n v="14873"/>
    <n v="11.31"/>
  </r>
  <r>
    <x v="76"/>
    <x v="18"/>
    <n v="148270"/>
    <n v="146376"/>
    <n v="1894"/>
    <n v="1.29"/>
  </r>
  <r>
    <x v="76"/>
    <x v="19"/>
    <n v="143232"/>
    <n v="148270"/>
    <n v="-5038"/>
    <n v="-3.4"/>
  </r>
  <r>
    <x v="76"/>
    <x v="20"/>
    <n v="134696"/>
    <n v="143232"/>
    <n v="-8536"/>
    <n v="-5.96"/>
  </r>
  <r>
    <x v="76"/>
    <x v="21"/>
    <n v="126661"/>
    <n v="134696"/>
    <n v="-8035"/>
    <n v="-5.97"/>
  </r>
  <r>
    <x v="77"/>
    <x v="22"/>
    <n v="17565"/>
    <n v="3592"/>
    <n v="13973"/>
    <n v="389"/>
  </r>
  <r>
    <x v="77"/>
    <x v="11"/>
    <n v="11617"/>
    <n v="17565"/>
    <n v="-5948"/>
    <n v="-33.86"/>
  </r>
  <r>
    <x v="77"/>
    <x v="12"/>
    <n v="12976"/>
    <n v="11617"/>
    <n v="1359"/>
    <n v="11.7"/>
  </r>
  <r>
    <x v="77"/>
    <x v="13"/>
    <n v="17773"/>
    <n v="12976"/>
    <n v="4797"/>
    <n v="36.97"/>
  </r>
  <r>
    <x v="77"/>
    <x v="14"/>
    <n v="22342"/>
    <n v="17773"/>
    <n v="4569"/>
    <n v="25.71"/>
  </r>
  <r>
    <x v="77"/>
    <x v="15"/>
    <n v="22214"/>
    <n v="22342"/>
    <n v="-128"/>
    <n v="-0.56999999999999995"/>
  </r>
  <r>
    <x v="77"/>
    <x v="16"/>
    <n v="22112"/>
    <n v="22214"/>
    <n v="-102"/>
    <n v="-0.46"/>
  </r>
  <r>
    <x v="77"/>
    <x v="17"/>
    <n v="27446"/>
    <n v="22112"/>
    <n v="5334"/>
    <n v="24.12"/>
  </r>
  <r>
    <x v="77"/>
    <x v="18"/>
    <n v="29979"/>
    <n v="27446"/>
    <n v="2533"/>
    <n v="9.23"/>
  </r>
  <r>
    <x v="77"/>
    <x v="19"/>
    <n v="35583"/>
    <n v="29979"/>
    <n v="5604"/>
    <n v="18.690000000000001"/>
  </r>
  <r>
    <x v="77"/>
    <x v="20"/>
    <n v="47619"/>
    <n v="35583"/>
    <n v="12036"/>
    <n v="33.83"/>
  </r>
  <r>
    <x v="77"/>
    <x v="23"/>
    <n v="45299"/>
    <n v="47619"/>
    <n v="-2320"/>
    <n v="-4.87"/>
  </r>
  <r>
    <x v="78"/>
    <x v="11"/>
    <n v="116"/>
    <n v="150"/>
    <n v="-34"/>
    <n v="-22.67"/>
  </r>
  <r>
    <x v="78"/>
    <x v="12"/>
    <n v="59"/>
    <n v="116"/>
    <n v="-57"/>
    <n v="-49.14"/>
  </r>
  <r>
    <x v="78"/>
    <x v="13"/>
    <n v="112"/>
    <n v="59"/>
    <n v="53"/>
    <n v="89.83"/>
  </r>
  <r>
    <x v="78"/>
    <x v="14"/>
    <n v="118"/>
    <n v="112"/>
    <n v="6"/>
    <n v="5.36"/>
  </r>
  <r>
    <x v="78"/>
    <x v="15"/>
    <n v="120"/>
    <n v="118"/>
    <n v="2"/>
    <n v="1.69"/>
  </r>
  <r>
    <x v="78"/>
    <x v="16"/>
    <n v="121"/>
    <n v="120"/>
    <n v="1"/>
    <n v="0.83"/>
  </r>
  <r>
    <x v="78"/>
    <x v="17"/>
    <n v="125"/>
    <n v="121"/>
    <n v="4"/>
    <n v="3.31"/>
  </r>
  <r>
    <x v="78"/>
    <x v="18"/>
    <n v="126"/>
    <n v="125"/>
    <n v="1"/>
    <n v="0.8"/>
  </r>
  <r>
    <x v="78"/>
    <x v="19"/>
    <n v="121"/>
    <n v="126"/>
    <n v="-5"/>
    <n v="-3.97"/>
  </r>
  <r>
    <x v="78"/>
    <x v="20"/>
    <n v="123"/>
    <n v="121"/>
    <n v="2"/>
    <n v="1.65"/>
  </r>
  <r>
    <x v="78"/>
    <x v="21"/>
    <n v="124"/>
    <n v="123"/>
    <n v="1"/>
    <n v="0.81"/>
  </r>
  <r>
    <x v="79"/>
    <x v="11"/>
    <n v="12991"/>
    <n v="10201"/>
    <n v="2790"/>
    <n v="27.35"/>
  </r>
  <r>
    <x v="79"/>
    <x v="12"/>
    <n v="19507"/>
    <n v="12991"/>
    <n v="6516"/>
    <n v="50.16"/>
  </r>
  <r>
    <x v="79"/>
    <x v="13"/>
    <n v="26312"/>
    <n v="19507"/>
    <n v="6805"/>
    <n v="34.880000000000003"/>
  </r>
  <r>
    <x v="79"/>
    <x v="14"/>
    <n v="36062"/>
    <n v="26312"/>
    <n v="9750"/>
    <n v="37.06"/>
  </r>
  <r>
    <x v="79"/>
    <x v="15"/>
    <n v="48282"/>
    <n v="36062"/>
    <n v="12220"/>
    <n v="33.89"/>
  </r>
  <r>
    <x v="79"/>
    <x v="16"/>
    <n v="65695"/>
    <n v="48282"/>
    <n v="17413"/>
    <n v="36.07"/>
  </r>
  <r>
    <x v="79"/>
    <x v="17"/>
    <n v="99754"/>
    <n v="65695"/>
    <n v="34059"/>
    <n v="51.84"/>
  </r>
  <r>
    <x v="79"/>
    <x v="18"/>
    <n v="127212"/>
    <n v="99754"/>
    <n v="27458"/>
    <n v="27.53"/>
  </r>
  <r>
    <x v="79"/>
    <x v="19"/>
    <n v="128461"/>
    <n v="127212"/>
    <n v="1249"/>
    <n v="0.98"/>
  </r>
  <r>
    <x v="79"/>
    <x v="20"/>
    <n v="161179"/>
    <n v="128461"/>
    <n v="32718"/>
    <n v="25.47"/>
  </r>
  <r>
    <x v="79"/>
    <x v="21"/>
    <n v="212265"/>
    <n v="161179"/>
    <n v="51086"/>
    <n v="31.7"/>
  </r>
  <r>
    <x v="80"/>
    <x v="11"/>
    <n v="41795"/>
    <n v="38600"/>
    <n v="3195"/>
    <n v="8.2799999999999994"/>
  </r>
  <r>
    <x v="80"/>
    <x v="12"/>
    <n v="44150"/>
    <n v="41795"/>
    <n v="2355"/>
    <n v="5.63"/>
  </r>
  <r>
    <x v="80"/>
    <x v="13"/>
    <n v="44742"/>
    <n v="44150"/>
    <n v="592"/>
    <n v="1.34"/>
  </r>
  <r>
    <x v="80"/>
    <x v="14"/>
    <n v="52729"/>
    <n v="44742"/>
    <n v="7987"/>
    <n v="17.850000000000001"/>
  </r>
  <r>
    <x v="80"/>
    <x v="15"/>
    <n v="52484"/>
    <n v="52729"/>
    <n v="-245"/>
    <n v="-0.46"/>
  </r>
  <r>
    <x v="80"/>
    <x v="16"/>
    <n v="52835"/>
    <n v="52484"/>
    <n v="351"/>
    <n v="0.67"/>
  </r>
  <r>
    <x v="80"/>
    <x v="17"/>
    <n v="46980"/>
    <n v="52835"/>
    <n v="-5855"/>
    <n v="-11.08"/>
  </r>
  <r>
    <x v="80"/>
    <x v="18"/>
    <n v="55123"/>
    <n v="46980"/>
    <n v="8143"/>
    <n v="17.329999999999998"/>
  </r>
  <r>
    <x v="80"/>
    <x v="19"/>
    <n v="52430"/>
    <n v="55123"/>
    <n v="-2693"/>
    <n v="-4.8899999999999997"/>
  </r>
  <r>
    <x v="80"/>
    <x v="20"/>
    <n v="48744"/>
    <n v="52430"/>
    <n v="-3686"/>
    <n v="-7.03"/>
  </r>
  <r>
    <x v="80"/>
    <x v="21"/>
    <n v="42350"/>
    <n v="48744"/>
    <n v="-6394"/>
    <n v="-13.12"/>
  </r>
  <r>
    <x v="81"/>
    <x v="11"/>
    <n v="1305"/>
    <n v="1527"/>
    <n v="-222"/>
    <n v="-14.54"/>
  </r>
  <r>
    <x v="81"/>
    <x v="12"/>
    <n v="178"/>
    <n v="1305"/>
    <n v="-1127"/>
    <n v="-86.36"/>
  </r>
  <r>
    <x v="81"/>
    <x v="13"/>
    <n v="408"/>
    <n v="178"/>
    <n v="230"/>
    <n v="129.21"/>
  </r>
  <r>
    <x v="81"/>
    <x v="14"/>
    <n v="1199"/>
    <n v="408"/>
    <n v="791"/>
    <n v="193.87"/>
  </r>
  <r>
    <x v="81"/>
    <x v="15"/>
    <n v="3014"/>
    <n v="1199"/>
    <n v="1815"/>
    <n v="151.38"/>
  </r>
  <r>
    <x v="81"/>
    <x v="16"/>
    <n v="1538"/>
    <n v="3014"/>
    <n v="-1476"/>
    <n v="-48.97"/>
  </r>
  <r>
    <x v="81"/>
    <x v="17"/>
    <n v="2210"/>
    <n v="1538"/>
    <n v="672"/>
    <n v="43.69"/>
  </r>
  <r>
    <x v="81"/>
    <x v="18"/>
    <n v="6434"/>
    <n v="2210"/>
    <n v="4224"/>
    <n v="191.13"/>
  </r>
  <r>
    <x v="81"/>
    <x v="19"/>
    <n v="5884"/>
    <n v="6434"/>
    <n v="-550"/>
    <n v="-8.5500000000000007"/>
  </r>
  <r>
    <x v="81"/>
    <x v="20"/>
    <n v="3514"/>
    <n v="5884"/>
    <n v="-2370"/>
    <n v="-40.28"/>
  </r>
  <r>
    <x v="81"/>
    <x v="21"/>
    <n v="4331"/>
    <n v="3514"/>
    <n v="817"/>
    <n v="23.25"/>
  </r>
  <r>
    <x v="82"/>
    <x v="13"/>
    <n v="9701"/>
    <n v="0"/>
    <n v="9701"/>
    <s v="NULL"/>
  </r>
  <r>
    <x v="82"/>
    <x v="14"/>
    <n v="8585"/>
    <n v="9701"/>
    <n v="-1116"/>
    <n v="-11.5"/>
  </r>
  <r>
    <x v="82"/>
    <x v="15"/>
    <n v="8975"/>
    <n v="8585"/>
    <n v="390"/>
    <n v="4.54"/>
  </r>
  <r>
    <x v="82"/>
    <x v="16"/>
    <n v="10428"/>
    <n v="8975"/>
    <n v="1453"/>
    <n v="16.190000000000001"/>
  </r>
  <r>
    <x v="82"/>
    <x v="17"/>
    <n v="20137"/>
    <n v="10428"/>
    <n v="9709"/>
    <n v="93.11"/>
  </r>
  <r>
    <x v="82"/>
    <x v="18"/>
    <n v="24246"/>
    <n v="20137"/>
    <n v="4109"/>
    <n v="20.41"/>
  </r>
  <r>
    <x v="82"/>
    <x v="19"/>
    <n v="27095"/>
    <n v="24246"/>
    <n v="2849"/>
    <n v="11.75"/>
  </r>
  <r>
    <x v="82"/>
    <x v="20"/>
    <n v="29902"/>
    <n v="27095"/>
    <n v="2807"/>
    <n v="10.36"/>
  </r>
  <r>
    <x v="82"/>
    <x v="23"/>
    <n v="33600"/>
    <n v="29902"/>
    <n v="3698"/>
    <n v="12.37"/>
  </r>
  <r>
    <x v="83"/>
    <x v="11"/>
    <n v="1800"/>
    <n v="1016"/>
    <n v="784"/>
    <n v="77.17"/>
  </r>
  <r>
    <x v="83"/>
    <x v="12"/>
    <n v="3346"/>
    <n v="1800"/>
    <n v="1546"/>
    <n v="85.89"/>
  </r>
  <r>
    <x v="83"/>
    <x v="13"/>
    <n v="3926"/>
    <n v="3346"/>
    <n v="580"/>
    <n v="17.329999999999998"/>
  </r>
  <r>
    <x v="83"/>
    <x v="14"/>
    <n v="3245"/>
    <n v="3926"/>
    <n v="-681"/>
    <n v="-17.350000000000001"/>
  </r>
  <r>
    <x v="83"/>
    <x v="15"/>
    <n v="2596"/>
    <n v="3245"/>
    <n v="-649"/>
    <n v="-20"/>
  </r>
  <r>
    <x v="83"/>
    <x v="16"/>
    <n v="2453"/>
    <n v="2596"/>
    <n v="-143"/>
    <n v="-5.51"/>
  </r>
  <r>
    <x v="83"/>
    <x v="17"/>
    <n v="2429"/>
    <n v="2453"/>
    <n v="-24"/>
    <n v="-0.98"/>
  </r>
  <r>
    <x v="83"/>
    <x v="18"/>
    <n v="22719"/>
    <n v="2429"/>
    <n v="20290"/>
    <n v="835.32"/>
  </r>
  <r>
    <x v="83"/>
    <x v="19"/>
    <n v="29860"/>
    <n v="22719"/>
    <n v="7141"/>
    <n v="31.43"/>
  </r>
  <r>
    <x v="83"/>
    <x v="20"/>
    <n v="36878"/>
    <n v="29860"/>
    <n v="7018"/>
    <n v="23.5"/>
  </r>
  <r>
    <x v="83"/>
    <x v="21"/>
    <n v="44854"/>
    <n v="36878"/>
    <n v="7976"/>
    <n v="21.63"/>
  </r>
  <r>
    <x v="84"/>
    <x v="11"/>
    <n v="234"/>
    <n v="269"/>
    <n v="-35"/>
    <n v="-13.01"/>
  </r>
  <r>
    <x v="84"/>
    <x v="12"/>
    <n v="110"/>
    <n v="234"/>
    <n v="-124"/>
    <n v="-52.99"/>
  </r>
  <r>
    <x v="84"/>
    <x v="13"/>
    <n v="218"/>
    <n v="110"/>
    <n v="108"/>
    <n v="98.18"/>
  </r>
  <r>
    <x v="84"/>
    <x v="14"/>
    <n v="55"/>
    <n v="218"/>
    <n v="-163"/>
    <n v="-74.77"/>
  </r>
  <r>
    <x v="84"/>
    <x v="15"/>
    <n v="0"/>
    <n v="55"/>
    <n v="-55"/>
    <n v="-100"/>
  </r>
  <r>
    <x v="84"/>
    <x v="16"/>
    <n v="0"/>
    <n v="0"/>
    <n v="0"/>
    <s v="NULL"/>
  </r>
  <r>
    <x v="84"/>
    <x v="17"/>
    <n v="0"/>
    <n v="0"/>
    <n v="0"/>
    <s v="NULL"/>
  </r>
  <r>
    <x v="84"/>
    <x v="18"/>
    <n v="912"/>
    <n v="0"/>
    <n v="912"/>
    <s v="NULL"/>
  </r>
  <r>
    <x v="84"/>
    <x v="19"/>
    <n v="798"/>
    <n v="912"/>
    <n v="-114"/>
    <n v="-12.5"/>
  </r>
  <r>
    <x v="84"/>
    <x v="20"/>
    <n v="836"/>
    <n v="798"/>
    <n v="38"/>
    <n v="4.76"/>
  </r>
  <r>
    <x v="84"/>
    <x v="21"/>
    <n v="1541"/>
    <n v="836"/>
    <n v="705"/>
    <n v="84.33"/>
  </r>
  <r>
    <x v="85"/>
    <x v="11"/>
    <n v="0"/>
    <n v="0"/>
    <n v="0"/>
    <s v="NULL"/>
  </r>
  <r>
    <x v="85"/>
    <x v="12"/>
    <n v="0"/>
    <n v="0"/>
    <n v="0"/>
    <s v="NULL"/>
  </r>
  <r>
    <x v="85"/>
    <x v="13"/>
    <n v="0"/>
    <n v="0"/>
    <n v="0"/>
    <s v="NULL"/>
  </r>
  <r>
    <x v="85"/>
    <x v="14"/>
    <n v="1029"/>
    <n v="0"/>
    <n v="1029"/>
    <s v="NULL"/>
  </r>
  <r>
    <x v="85"/>
    <x v="15"/>
    <n v="0"/>
    <n v="1029"/>
    <n v="-1029"/>
    <n v="-100"/>
  </r>
  <r>
    <x v="85"/>
    <x v="16"/>
    <n v="0"/>
    <n v="0"/>
    <n v="0"/>
    <s v="NULL"/>
  </r>
  <r>
    <x v="85"/>
    <x v="17"/>
    <n v="0"/>
    <n v="0"/>
    <n v="0"/>
    <s v="NULL"/>
  </r>
  <r>
    <x v="85"/>
    <x v="18"/>
    <n v="0"/>
    <n v="0"/>
    <n v="0"/>
    <s v="NULL"/>
  </r>
  <r>
    <x v="85"/>
    <x v="19"/>
    <n v="1200"/>
    <n v="0"/>
    <n v="1200"/>
    <s v="NULL"/>
  </r>
  <r>
    <x v="85"/>
    <x v="20"/>
    <n v="1200"/>
    <n v="1200"/>
    <n v="0"/>
    <n v="0"/>
  </r>
  <r>
    <x v="85"/>
    <x v="21"/>
    <n v="1200"/>
    <n v="1200"/>
    <n v="0"/>
    <n v="0"/>
  </r>
  <r>
    <x v="86"/>
    <x v="1"/>
    <n v="2332"/>
    <n v="1940"/>
    <n v="392"/>
    <n v="20.21"/>
  </r>
  <r>
    <x v="86"/>
    <x v="2"/>
    <n v="2415"/>
    <n v="2332"/>
    <n v="83"/>
    <n v="3.56"/>
  </r>
  <r>
    <x v="86"/>
    <x v="3"/>
    <n v="2077"/>
    <n v="2415"/>
    <n v="-338"/>
    <n v="-14"/>
  </r>
  <r>
    <x v="86"/>
    <x v="4"/>
    <n v="2215"/>
    <n v="2077"/>
    <n v="138"/>
    <n v="6.64"/>
  </r>
  <r>
    <x v="86"/>
    <x v="5"/>
    <n v="2654"/>
    <n v="2215"/>
    <n v="439"/>
    <n v="19.82"/>
  </r>
  <r>
    <x v="86"/>
    <x v="6"/>
    <n v="2808"/>
    <n v="2654"/>
    <n v="154"/>
    <n v="5.8"/>
  </r>
  <r>
    <x v="86"/>
    <x v="7"/>
    <n v="3417"/>
    <n v="2808"/>
    <n v="609"/>
    <n v="21.69"/>
  </r>
  <r>
    <x v="86"/>
    <x v="8"/>
    <n v="3216"/>
    <n v="3417"/>
    <n v="-201"/>
    <n v="-5.88"/>
  </r>
  <r>
    <x v="86"/>
    <x v="9"/>
    <n v="3387"/>
    <n v="3216"/>
    <n v="171"/>
    <n v="5.32"/>
  </r>
  <r>
    <x v="86"/>
    <x v="10"/>
    <n v="3884"/>
    <n v="3387"/>
    <n v="497"/>
    <n v="14.67"/>
  </r>
  <r>
    <x v="87"/>
    <x v="11"/>
    <n v="526"/>
    <n v="381"/>
    <n v="145"/>
    <n v="38.06"/>
  </r>
  <r>
    <x v="87"/>
    <x v="12"/>
    <n v="641"/>
    <n v="526"/>
    <n v="115"/>
    <n v="21.86"/>
  </r>
  <r>
    <x v="87"/>
    <x v="13"/>
    <n v="904"/>
    <n v="641"/>
    <n v="263"/>
    <n v="41.03"/>
  </r>
  <r>
    <x v="87"/>
    <x v="14"/>
    <n v="1192"/>
    <n v="904"/>
    <n v="288"/>
    <n v="31.86"/>
  </r>
  <r>
    <x v="87"/>
    <x v="15"/>
    <n v="1497"/>
    <n v="1192"/>
    <n v="305"/>
    <n v="25.59"/>
  </r>
  <r>
    <x v="87"/>
    <x v="16"/>
    <n v="439"/>
    <n v="1497"/>
    <n v="-1058"/>
    <n v="-70.67"/>
  </r>
  <r>
    <x v="87"/>
    <x v="17"/>
    <n v="700"/>
    <n v="439"/>
    <n v="261"/>
    <n v="59.45"/>
  </r>
  <r>
    <x v="87"/>
    <x v="18"/>
    <n v="333"/>
    <n v="700"/>
    <n v="-367"/>
    <n v="-52.43"/>
  </r>
  <r>
    <x v="87"/>
    <x v="19"/>
    <n v="393"/>
    <n v="333"/>
    <n v="60"/>
    <n v="18.02"/>
  </r>
  <r>
    <x v="87"/>
    <x v="20"/>
    <n v="647"/>
    <n v="393"/>
    <n v="254"/>
    <n v="64.63"/>
  </r>
  <r>
    <x v="87"/>
    <x v="21"/>
    <n v="643"/>
    <n v="647"/>
    <n v="-4"/>
    <n v="-0.62"/>
  </r>
  <r>
    <x v="88"/>
    <x v="11"/>
    <n v="0"/>
    <n v="0"/>
    <n v="0"/>
    <s v="NULL"/>
  </r>
  <r>
    <x v="88"/>
    <x v="12"/>
    <n v="0"/>
    <n v="0"/>
    <n v="0"/>
    <s v="NULL"/>
  </r>
  <r>
    <x v="88"/>
    <x v="13"/>
    <n v="0"/>
    <n v="0"/>
    <n v="0"/>
    <s v="NULL"/>
  </r>
  <r>
    <x v="88"/>
    <x v="14"/>
    <n v="0"/>
    <n v="0"/>
    <n v="0"/>
    <s v="NULL"/>
  </r>
  <r>
    <x v="88"/>
    <x v="15"/>
    <n v="485"/>
    <n v="0"/>
    <n v="485"/>
    <s v="NULL"/>
  </r>
  <r>
    <x v="88"/>
    <x v="16"/>
    <n v="485"/>
    <n v="485"/>
    <n v="0"/>
    <n v="0"/>
  </r>
  <r>
    <x v="88"/>
    <x v="17"/>
    <n v="485"/>
    <n v="485"/>
    <n v="0"/>
    <n v="0"/>
  </r>
  <r>
    <x v="88"/>
    <x v="18"/>
    <n v="485"/>
    <n v="485"/>
    <n v="0"/>
    <n v="0"/>
  </r>
  <r>
    <x v="88"/>
    <x v="19"/>
    <n v="485"/>
    <n v="485"/>
    <n v="0"/>
    <n v="0"/>
  </r>
  <r>
    <x v="88"/>
    <x v="20"/>
    <n v="255"/>
    <n v="485"/>
    <n v="-230"/>
    <n v="-47.42"/>
  </r>
  <r>
    <x v="88"/>
    <x v="21"/>
    <n v="35"/>
    <n v="255"/>
    <n v="-220"/>
    <n v="-86.27"/>
  </r>
  <r>
    <x v="89"/>
    <x v="11"/>
    <n v="0"/>
    <n v="0"/>
    <n v="0"/>
    <s v="NULL"/>
  </r>
  <r>
    <x v="89"/>
    <x v="12"/>
    <n v="0"/>
    <n v="0"/>
    <n v="0"/>
    <s v="NULL"/>
  </r>
  <r>
    <x v="89"/>
    <x v="13"/>
    <n v="0"/>
    <n v="0"/>
    <n v="0"/>
    <s v="NULL"/>
  </r>
  <r>
    <x v="89"/>
    <x v="14"/>
    <n v="0"/>
    <n v="0"/>
    <n v="0"/>
    <s v="NULL"/>
  </r>
  <r>
    <x v="89"/>
    <x v="15"/>
    <n v="0"/>
    <n v="0"/>
    <n v="0"/>
    <s v="NULL"/>
  </r>
  <r>
    <x v="89"/>
    <x v="16"/>
    <n v="0"/>
    <n v="0"/>
    <n v="0"/>
    <s v="NULL"/>
  </r>
  <r>
    <x v="89"/>
    <x v="17"/>
    <n v="0"/>
    <n v="0"/>
    <n v="0"/>
    <s v="NULL"/>
  </r>
  <r>
    <x v="89"/>
    <x v="18"/>
    <n v="0"/>
    <n v="0"/>
    <n v="0"/>
    <s v="NULL"/>
  </r>
  <r>
    <x v="89"/>
    <x v="19"/>
    <n v="0"/>
    <n v="0"/>
    <n v="0"/>
    <s v="NULL"/>
  </r>
  <r>
    <x v="89"/>
    <x v="20"/>
    <n v="0"/>
    <n v="0"/>
    <n v="0"/>
    <s v="NULL"/>
  </r>
  <r>
    <x v="89"/>
    <x v="21"/>
    <n v="0"/>
    <n v="0"/>
    <n v="0"/>
    <s v="NULL"/>
  </r>
  <r>
    <x v="90"/>
    <x v="12"/>
    <n v="0"/>
    <n v="0"/>
    <n v="0"/>
    <s v="NULL"/>
  </r>
  <r>
    <x v="90"/>
    <x v="13"/>
    <n v="0"/>
    <n v="0"/>
    <n v="0"/>
    <s v="NULL"/>
  </r>
  <r>
    <x v="90"/>
    <x v="14"/>
    <n v="0"/>
    <n v="0"/>
    <n v="0"/>
    <s v="NULL"/>
  </r>
  <r>
    <x v="90"/>
    <x v="15"/>
    <n v="0"/>
    <n v="0"/>
    <n v="0"/>
    <s v="NULL"/>
  </r>
  <r>
    <x v="90"/>
    <x v="16"/>
    <n v="0"/>
    <n v="0"/>
    <n v="0"/>
    <s v="NULL"/>
  </r>
  <r>
    <x v="90"/>
    <x v="17"/>
    <n v="0"/>
    <n v="0"/>
    <n v="0"/>
    <s v="NULL"/>
  </r>
  <r>
    <x v="90"/>
    <x v="18"/>
    <n v="0"/>
    <n v="0"/>
    <n v="0"/>
    <s v="NULL"/>
  </r>
  <r>
    <x v="90"/>
    <x v="19"/>
    <n v="600"/>
    <n v="0"/>
    <n v="600"/>
    <s v="NULL"/>
  </r>
  <r>
    <x v="90"/>
    <x v="20"/>
    <n v="600"/>
    <n v="600"/>
    <n v="0"/>
    <n v="0"/>
  </r>
  <r>
    <x v="90"/>
    <x v="21"/>
    <n v="950"/>
    <n v="600"/>
    <n v="350"/>
    <n v="58.33"/>
  </r>
  <r>
    <x v="91"/>
    <x v="11"/>
    <n v="5"/>
    <n v="5"/>
    <n v="0"/>
    <n v="0"/>
  </r>
  <r>
    <x v="91"/>
    <x v="12"/>
    <n v="684"/>
    <n v="5"/>
    <n v="679"/>
    <n v="13580"/>
  </r>
  <r>
    <x v="91"/>
    <x v="13"/>
    <n v="5"/>
    <n v="684"/>
    <n v="-679"/>
    <n v="-99.27"/>
  </r>
  <r>
    <x v="91"/>
    <x v="14"/>
    <n v="80"/>
    <n v="5"/>
    <n v="75"/>
    <n v="1500"/>
  </r>
  <r>
    <x v="91"/>
    <x v="15"/>
    <n v="1022"/>
    <n v="80"/>
    <n v="942"/>
    <n v="1177.5"/>
  </r>
  <r>
    <x v="91"/>
    <x v="16"/>
    <n v="905"/>
    <n v="1022"/>
    <n v="-117"/>
    <n v="-11.45"/>
  </r>
  <r>
    <x v="91"/>
    <x v="17"/>
    <n v="4157"/>
    <n v="905"/>
    <n v="3252"/>
    <n v="359.34"/>
  </r>
  <r>
    <x v="91"/>
    <x v="18"/>
    <n v="5927"/>
    <n v="4157"/>
    <n v="1770"/>
    <n v="42.58"/>
  </r>
  <r>
    <x v="91"/>
    <x v="19"/>
    <n v="53"/>
    <n v="5927"/>
    <n v="-5874"/>
    <n v="-99.11"/>
  </r>
  <r>
    <x v="91"/>
    <x v="20"/>
    <n v="49"/>
    <n v="53"/>
    <n v="-4"/>
    <n v="-7.55"/>
  </r>
  <r>
    <x v="91"/>
    <x v="21"/>
    <n v="2"/>
    <n v="49"/>
    <n v="-47"/>
    <n v="-95.92"/>
  </r>
  <r>
    <x v="92"/>
    <x v="16"/>
    <n v="9864"/>
    <n v="4347"/>
    <n v="5517"/>
    <n v="126.92"/>
  </r>
  <r>
    <x v="92"/>
    <x v="17"/>
    <n v="11142"/>
    <n v="9864"/>
    <n v="1278"/>
    <n v="12.96"/>
  </r>
  <r>
    <x v="92"/>
    <x v="18"/>
    <n v="14867"/>
    <n v="11142"/>
    <n v="3725"/>
    <n v="33.43"/>
  </r>
  <r>
    <x v="92"/>
    <x v="19"/>
    <n v="24209"/>
    <n v="14867"/>
    <n v="9342"/>
    <n v="62.84"/>
  </r>
  <r>
    <x v="92"/>
    <x v="20"/>
    <n v="52832"/>
    <n v="24209"/>
    <n v="28623"/>
    <n v="118.23"/>
  </r>
  <r>
    <x v="92"/>
    <x v="21"/>
    <n v="54223"/>
    <n v="52832"/>
    <n v="1391"/>
    <n v="2.63"/>
  </r>
  <r>
    <x v="93"/>
    <x v="17"/>
    <n v="394"/>
    <n v="1345"/>
    <n v="-951"/>
    <n v="-70.709999999999994"/>
  </r>
  <r>
    <x v="93"/>
    <x v="18"/>
    <n v="428"/>
    <n v="394"/>
    <n v="34"/>
    <n v="8.6300000000000008"/>
  </r>
  <r>
    <x v="93"/>
    <x v="19"/>
    <n v="529"/>
    <n v="428"/>
    <n v="101"/>
    <n v="23.6"/>
  </r>
  <r>
    <x v="93"/>
    <x v="20"/>
    <n v="1035"/>
    <n v="529"/>
    <n v="506"/>
    <n v="95.65"/>
  </r>
  <r>
    <x v="93"/>
    <x v="21"/>
    <n v="1422"/>
    <n v="1035"/>
    <n v="387"/>
    <n v="37.39"/>
  </r>
  <r>
    <x v="94"/>
    <x v="12"/>
    <n v="3498"/>
    <n v="2803"/>
    <n v="695"/>
    <n v="24.79"/>
  </r>
  <r>
    <x v="94"/>
    <x v="13"/>
    <n v="4699"/>
    <n v="3498"/>
    <n v="1201"/>
    <n v="34.33"/>
  </r>
  <r>
    <x v="94"/>
    <x v="14"/>
    <n v="5928"/>
    <n v="4699"/>
    <n v="1229"/>
    <n v="26.15"/>
  </r>
  <r>
    <x v="94"/>
    <x v="15"/>
    <n v="8268"/>
    <n v="5928"/>
    <n v="2340"/>
    <n v="39.47"/>
  </r>
  <r>
    <x v="94"/>
    <x v="16"/>
    <n v="11413"/>
    <n v="8268"/>
    <n v="3145"/>
    <n v="38.04"/>
  </r>
  <r>
    <x v="94"/>
    <x v="17"/>
    <n v="13549"/>
    <n v="11413"/>
    <n v="2136"/>
    <n v="18.72"/>
  </r>
  <r>
    <x v="94"/>
    <x v="18"/>
    <n v="17573"/>
    <n v="13549"/>
    <n v="4024"/>
    <n v="29.7"/>
  </r>
  <r>
    <x v="94"/>
    <x v="19"/>
    <n v="17895"/>
    <n v="17573"/>
    <n v="322"/>
    <n v="1.83"/>
  </r>
  <r>
    <x v="94"/>
    <x v="20"/>
    <n v="22982"/>
    <n v="17895"/>
    <n v="5087"/>
    <n v="28.43"/>
  </r>
  <r>
    <x v="94"/>
    <x v="21"/>
    <n v="31110"/>
    <n v="22982"/>
    <n v="8128"/>
    <n v="35.369999999999997"/>
  </r>
  <r>
    <x v="95"/>
    <x v="16"/>
    <n v="981"/>
    <n v="874"/>
    <n v="107"/>
    <n v="12.24"/>
  </r>
  <r>
    <x v="95"/>
    <x v="17"/>
    <n v="1003"/>
    <n v="981"/>
    <n v="22"/>
    <n v="2.2400000000000002"/>
  </r>
  <r>
    <x v="95"/>
    <x v="18"/>
    <n v="875"/>
    <n v="1003"/>
    <n v="-128"/>
    <n v="-12.76"/>
  </r>
  <r>
    <x v="95"/>
    <x v="19"/>
    <n v="1101"/>
    <n v="875"/>
    <n v="226"/>
    <n v="25.83"/>
  </r>
  <r>
    <x v="95"/>
    <x v="20"/>
    <n v="913"/>
    <n v="1101"/>
    <n v="-188"/>
    <n v="-17.079999999999998"/>
  </r>
  <r>
    <x v="95"/>
    <x v="21"/>
    <n v="689"/>
    <n v="913"/>
    <n v="-224"/>
    <n v="-24.53"/>
  </r>
  <r>
    <x v="96"/>
    <x v="17"/>
    <n v="104"/>
    <n v="12"/>
    <n v="92"/>
    <n v="766.67"/>
  </r>
  <r>
    <x v="96"/>
    <x v="18"/>
    <n v="73"/>
    <n v="104"/>
    <n v="-31"/>
    <n v="-29.81"/>
  </r>
  <r>
    <x v="96"/>
    <x v="19"/>
    <n v="72"/>
    <n v="73"/>
    <n v="-1"/>
    <n v="-1.37"/>
  </r>
  <r>
    <x v="96"/>
    <x v="20"/>
    <n v="70"/>
    <n v="72"/>
    <n v="-2"/>
    <n v="-2.78"/>
  </r>
  <r>
    <x v="96"/>
    <x v="21"/>
    <n v="507"/>
    <n v="70"/>
    <n v="437"/>
    <n v="624.29"/>
  </r>
  <r>
    <x v="97"/>
    <x v="15"/>
    <n v="2622"/>
    <n v="1948"/>
    <n v="674"/>
    <n v="34.6"/>
  </r>
  <r>
    <x v="97"/>
    <x v="16"/>
    <n v="2244"/>
    <n v="2622"/>
    <n v="-378"/>
    <n v="-14.42"/>
  </r>
  <r>
    <x v="97"/>
    <x v="17"/>
    <n v="1829"/>
    <n v="2244"/>
    <n v="-415"/>
    <n v="-18.489999999999998"/>
  </r>
  <r>
    <x v="97"/>
    <x v="18"/>
    <n v="2300"/>
    <n v="1829"/>
    <n v="471"/>
    <n v="25.75"/>
  </r>
  <r>
    <x v="97"/>
    <x v="19"/>
    <n v="3051"/>
    <n v="2300"/>
    <n v="751"/>
    <n v="32.65"/>
  </r>
  <r>
    <x v="97"/>
    <x v="20"/>
    <n v="2626"/>
    <n v="3051"/>
    <n v="-425"/>
    <n v="-13.93"/>
  </r>
  <r>
    <x v="97"/>
    <x v="21"/>
    <n v="2259"/>
    <n v="2626"/>
    <n v="-367"/>
    <n v="-13.98"/>
  </r>
  <r>
    <x v="98"/>
    <x v="16"/>
    <n v="0"/>
    <n v="0"/>
    <n v="0"/>
    <s v="NULL"/>
  </r>
  <r>
    <x v="98"/>
    <x v="17"/>
    <n v="0"/>
    <n v="0"/>
    <n v="0"/>
    <s v="NULL"/>
  </r>
  <r>
    <x v="98"/>
    <x v="18"/>
    <n v="0"/>
    <n v="0"/>
    <n v="0"/>
    <s v="NULL"/>
  </r>
  <r>
    <x v="98"/>
    <x v="19"/>
    <n v="0"/>
    <n v="0"/>
    <n v="0"/>
    <s v="NULL"/>
  </r>
  <r>
    <x v="98"/>
    <x v="20"/>
    <n v="0"/>
    <n v="0"/>
    <n v="0"/>
    <s v="NULL"/>
  </r>
  <r>
    <x v="98"/>
    <x v="21"/>
    <n v="0"/>
    <n v="0"/>
    <n v="0"/>
    <s v="NU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F2AB4-BFAA-4095-A3F1-65C100E8C38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6:DI21" firstHeaderRow="1" firstDataRow="2" firstDataCol="1"/>
  <pivotFields count="9">
    <pivotField axis="axisCol"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umFmtId="17" showAll="0">
      <items count="40">
        <item x="28"/>
        <item x="22"/>
        <item x="29"/>
        <item x="0"/>
        <item x="11"/>
        <item x="24"/>
        <item x="30"/>
        <item x="1"/>
        <item x="12"/>
        <item x="25"/>
        <item x="31"/>
        <item x="2"/>
        <item x="13"/>
        <item x="26"/>
        <item x="32"/>
        <item x="3"/>
        <item x="14"/>
        <item x="33"/>
        <item x="4"/>
        <item x="15"/>
        <item x="34"/>
        <item x="5"/>
        <item x="16"/>
        <item x="35"/>
        <item x="6"/>
        <item x="17"/>
        <item x="36"/>
        <item x="7"/>
        <item x="18"/>
        <item x="37"/>
        <item x="8"/>
        <item x="19"/>
        <item x="38"/>
        <item x="9"/>
        <item x="20"/>
        <item x="27"/>
        <item x="23"/>
        <item x="10"/>
        <item x="21"/>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5">
        <item sd="0" x="0"/>
        <item sd="0" x="1"/>
        <item sd="0" x="2"/>
        <item sd="0" x="3"/>
        <item sd="0" x="4"/>
        <item sd="0" x="5"/>
        <item sd="0" x="6"/>
        <item sd="0" x="7"/>
        <item sd="0" x="8"/>
        <item sd="0" x="9"/>
        <item sd="0" x="10"/>
        <item sd="0" x="11"/>
        <item sd="0" x="12"/>
        <item sd="0" x="13"/>
        <item sd="0" x="14"/>
      </items>
    </pivotField>
  </pivotFields>
  <rowFields count="3">
    <field x="8"/>
    <field x="7"/>
    <field x="6"/>
  </rowFields>
  <rowItems count="14">
    <i>
      <x v="1"/>
    </i>
    <i>
      <x v="2"/>
    </i>
    <i>
      <x v="3"/>
    </i>
    <i>
      <x v="4"/>
    </i>
    <i>
      <x v="5"/>
    </i>
    <i>
      <x v="6"/>
    </i>
    <i>
      <x v="7"/>
    </i>
    <i>
      <x v="8"/>
    </i>
    <i>
      <x v="9"/>
    </i>
    <i>
      <x v="10"/>
    </i>
    <i>
      <x v="11"/>
    </i>
    <i>
      <x v="12"/>
    </i>
    <i>
      <x v="13"/>
    </i>
    <i t="grand">
      <x/>
    </i>
  </rowItems>
  <colFields count="1">
    <field x="0"/>
  </colFields>
  <col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colItems>
  <dataFields count="1">
    <dataField name="Sum of BorrowingChange" fld="4" baseField="8" baseItem="1"/>
  </dataFields>
  <chartFormats count="19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27"/>
          </reference>
        </references>
      </pivotArea>
    </chartFormat>
    <chartFormat chart="0" format="28" series="1">
      <pivotArea type="data" outline="0" fieldPosition="0">
        <references count="2">
          <reference field="4294967294" count="1" selected="0">
            <x v="0"/>
          </reference>
          <reference field="0" count="1" selected="0">
            <x v="28"/>
          </reference>
        </references>
      </pivotArea>
    </chartFormat>
    <chartFormat chart="0" format="29" series="1">
      <pivotArea type="data" outline="0" fieldPosition="0">
        <references count="2">
          <reference field="4294967294" count="1" selected="0">
            <x v="0"/>
          </reference>
          <reference field="0" count="1" selected="0">
            <x v="29"/>
          </reference>
        </references>
      </pivotArea>
    </chartFormat>
    <chartFormat chart="0" format="30" series="1">
      <pivotArea type="data" outline="0" fieldPosition="0">
        <references count="2">
          <reference field="4294967294" count="1" selected="0">
            <x v="0"/>
          </reference>
          <reference field="0" count="1" selected="0">
            <x v="30"/>
          </reference>
        </references>
      </pivotArea>
    </chartFormat>
    <chartFormat chart="0" format="31" series="1">
      <pivotArea type="data" outline="0" fieldPosition="0">
        <references count="2">
          <reference field="4294967294" count="1" selected="0">
            <x v="0"/>
          </reference>
          <reference field="0" count="1" selected="0">
            <x v="31"/>
          </reference>
        </references>
      </pivotArea>
    </chartFormat>
    <chartFormat chart="0" format="32" series="1">
      <pivotArea type="data" outline="0" fieldPosition="0">
        <references count="2">
          <reference field="4294967294" count="1" selected="0">
            <x v="0"/>
          </reference>
          <reference field="0" count="1" selected="0">
            <x v="32"/>
          </reference>
        </references>
      </pivotArea>
    </chartFormat>
    <chartFormat chart="0" format="33" series="1">
      <pivotArea type="data" outline="0" fieldPosition="0">
        <references count="2">
          <reference field="4294967294" count="1" selected="0">
            <x v="0"/>
          </reference>
          <reference field="0" count="1" selected="0">
            <x v="33"/>
          </reference>
        </references>
      </pivotArea>
    </chartFormat>
    <chartFormat chart="0" format="34" series="1">
      <pivotArea type="data" outline="0" fieldPosition="0">
        <references count="2">
          <reference field="4294967294" count="1" selected="0">
            <x v="0"/>
          </reference>
          <reference field="0" count="1" selected="0">
            <x v="34"/>
          </reference>
        </references>
      </pivotArea>
    </chartFormat>
    <chartFormat chart="0" format="35" series="1">
      <pivotArea type="data" outline="0" fieldPosition="0">
        <references count="2">
          <reference field="4294967294" count="1" selected="0">
            <x v="0"/>
          </reference>
          <reference field="0" count="1" selected="0">
            <x v="35"/>
          </reference>
        </references>
      </pivotArea>
    </chartFormat>
    <chartFormat chart="0" format="36" series="1">
      <pivotArea type="data" outline="0" fieldPosition="0">
        <references count="2">
          <reference field="4294967294" count="1" selected="0">
            <x v="0"/>
          </reference>
          <reference field="0" count="1" selected="0">
            <x v="36"/>
          </reference>
        </references>
      </pivotArea>
    </chartFormat>
    <chartFormat chart="0" format="37" series="1">
      <pivotArea type="data" outline="0" fieldPosition="0">
        <references count="2">
          <reference field="4294967294" count="1" selected="0">
            <x v="0"/>
          </reference>
          <reference field="0" count="1" selected="0">
            <x v="37"/>
          </reference>
        </references>
      </pivotArea>
    </chartFormat>
    <chartFormat chart="0" format="38" series="1">
      <pivotArea type="data" outline="0" fieldPosition="0">
        <references count="2">
          <reference field="4294967294" count="1" selected="0">
            <x v="0"/>
          </reference>
          <reference field="0" count="1" selected="0">
            <x v="38"/>
          </reference>
        </references>
      </pivotArea>
    </chartFormat>
    <chartFormat chart="0" format="39" series="1">
      <pivotArea type="data" outline="0" fieldPosition="0">
        <references count="2">
          <reference field="4294967294" count="1" selected="0">
            <x v="0"/>
          </reference>
          <reference field="0" count="1" selected="0">
            <x v="39"/>
          </reference>
        </references>
      </pivotArea>
    </chartFormat>
    <chartFormat chart="0" format="40" series="1">
      <pivotArea type="data" outline="0" fieldPosition="0">
        <references count="2">
          <reference field="4294967294" count="1" selected="0">
            <x v="0"/>
          </reference>
          <reference field="0" count="1" selected="0">
            <x v="40"/>
          </reference>
        </references>
      </pivotArea>
    </chartFormat>
    <chartFormat chart="0" format="41" series="1">
      <pivotArea type="data" outline="0" fieldPosition="0">
        <references count="2">
          <reference field="4294967294" count="1" selected="0">
            <x v="0"/>
          </reference>
          <reference field="0" count="1" selected="0">
            <x v="41"/>
          </reference>
        </references>
      </pivotArea>
    </chartFormat>
    <chartFormat chart="0" format="42" series="1">
      <pivotArea type="data" outline="0" fieldPosition="0">
        <references count="2">
          <reference field="4294967294" count="1" selected="0">
            <x v="0"/>
          </reference>
          <reference field="0" count="1" selected="0">
            <x v="42"/>
          </reference>
        </references>
      </pivotArea>
    </chartFormat>
    <chartFormat chart="0" format="43" series="1">
      <pivotArea type="data" outline="0" fieldPosition="0">
        <references count="2">
          <reference field="4294967294" count="1" selected="0">
            <x v="0"/>
          </reference>
          <reference field="0" count="1" selected="0">
            <x v="43"/>
          </reference>
        </references>
      </pivotArea>
    </chartFormat>
    <chartFormat chart="0" format="44" series="1">
      <pivotArea type="data" outline="0" fieldPosition="0">
        <references count="2">
          <reference field="4294967294" count="1" selected="0">
            <x v="0"/>
          </reference>
          <reference field="0" count="1" selected="0">
            <x v="44"/>
          </reference>
        </references>
      </pivotArea>
    </chartFormat>
    <chartFormat chart="0" format="45" series="1">
      <pivotArea type="data" outline="0" fieldPosition="0">
        <references count="2">
          <reference field="4294967294" count="1" selected="0">
            <x v="0"/>
          </reference>
          <reference field="0" count="1" selected="0">
            <x v="45"/>
          </reference>
        </references>
      </pivotArea>
    </chartFormat>
    <chartFormat chart="0" format="46" series="1">
      <pivotArea type="data" outline="0" fieldPosition="0">
        <references count="2">
          <reference field="4294967294" count="1" selected="0">
            <x v="0"/>
          </reference>
          <reference field="0" count="1" selected="0">
            <x v="46"/>
          </reference>
        </references>
      </pivotArea>
    </chartFormat>
    <chartFormat chart="0" format="47" series="1">
      <pivotArea type="data" outline="0" fieldPosition="0">
        <references count="2">
          <reference field="4294967294" count="1" selected="0">
            <x v="0"/>
          </reference>
          <reference field="0" count="1" selected="0">
            <x v="47"/>
          </reference>
        </references>
      </pivotArea>
    </chartFormat>
    <chartFormat chart="0" format="48" series="1">
      <pivotArea type="data" outline="0" fieldPosition="0">
        <references count="2">
          <reference field="4294967294" count="1" selected="0">
            <x v="0"/>
          </reference>
          <reference field="0" count="1" selected="0">
            <x v="48"/>
          </reference>
        </references>
      </pivotArea>
    </chartFormat>
    <chartFormat chart="0" format="49" series="1">
      <pivotArea type="data" outline="0" fieldPosition="0">
        <references count="2">
          <reference field="4294967294" count="1" selected="0">
            <x v="0"/>
          </reference>
          <reference field="0" count="1" selected="0">
            <x v="49"/>
          </reference>
        </references>
      </pivotArea>
    </chartFormat>
    <chartFormat chart="0" format="50" series="1">
      <pivotArea type="data" outline="0" fieldPosition="0">
        <references count="2">
          <reference field="4294967294" count="1" selected="0">
            <x v="0"/>
          </reference>
          <reference field="0" count="1" selected="0">
            <x v="50"/>
          </reference>
        </references>
      </pivotArea>
    </chartFormat>
    <chartFormat chart="0" format="51" series="1">
      <pivotArea type="data" outline="0" fieldPosition="0">
        <references count="2">
          <reference field="4294967294" count="1" selected="0">
            <x v="0"/>
          </reference>
          <reference field="0" count="1" selected="0">
            <x v="51"/>
          </reference>
        </references>
      </pivotArea>
    </chartFormat>
    <chartFormat chart="0" format="52" series="1">
      <pivotArea type="data" outline="0" fieldPosition="0">
        <references count="2">
          <reference field="4294967294" count="1" selected="0">
            <x v="0"/>
          </reference>
          <reference field="0" count="1" selected="0">
            <x v="52"/>
          </reference>
        </references>
      </pivotArea>
    </chartFormat>
    <chartFormat chart="0" format="53" series="1">
      <pivotArea type="data" outline="0" fieldPosition="0">
        <references count="2">
          <reference field="4294967294" count="1" selected="0">
            <x v="0"/>
          </reference>
          <reference field="0" count="1" selected="0">
            <x v="53"/>
          </reference>
        </references>
      </pivotArea>
    </chartFormat>
    <chartFormat chart="0" format="54" series="1">
      <pivotArea type="data" outline="0" fieldPosition="0">
        <references count="2">
          <reference field="4294967294" count="1" selected="0">
            <x v="0"/>
          </reference>
          <reference field="0" count="1" selected="0">
            <x v="54"/>
          </reference>
        </references>
      </pivotArea>
    </chartFormat>
    <chartFormat chart="0" format="55" series="1">
      <pivotArea type="data" outline="0" fieldPosition="0">
        <references count="2">
          <reference field="4294967294" count="1" selected="0">
            <x v="0"/>
          </reference>
          <reference field="0" count="1" selected="0">
            <x v="55"/>
          </reference>
        </references>
      </pivotArea>
    </chartFormat>
    <chartFormat chart="0" format="56" series="1">
      <pivotArea type="data" outline="0" fieldPosition="0">
        <references count="2">
          <reference field="4294967294" count="1" selected="0">
            <x v="0"/>
          </reference>
          <reference field="0" count="1" selected="0">
            <x v="56"/>
          </reference>
        </references>
      </pivotArea>
    </chartFormat>
    <chartFormat chart="0" format="57" series="1">
      <pivotArea type="data" outline="0" fieldPosition="0">
        <references count="2">
          <reference field="4294967294" count="1" selected="0">
            <x v="0"/>
          </reference>
          <reference field="0" count="1" selected="0">
            <x v="57"/>
          </reference>
        </references>
      </pivotArea>
    </chartFormat>
    <chartFormat chart="0" format="58" series="1">
      <pivotArea type="data" outline="0" fieldPosition="0">
        <references count="2">
          <reference field="4294967294" count="1" selected="0">
            <x v="0"/>
          </reference>
          <reference field="0" count="1" selected="0">
            <x v="58"/>
          </reference>
        </references>
      </pivotArea>
    </chartFormat>
    <chartFormat chart="0" format="59" series="1">
      <pivotArea type="data" outline="0" fieldPosition="0">
        <references count="2">
          <reference field="4294967294" count="1" selected="0">
            <x v="0"/>
          </reference>
          <reference field="0" count="1" selected="0">
            <x v="59"/>
          </reference>
        </references>
      </pivotArea>
    </chartFormat>
    <chartFormat chart="0" format="60" series="1">
      <pivotArea type="data" outline="0" fieldPosition="0">
        <references count="2">
          <reference field="4294967294" count="1" selected="0">
            <x v="0"/>
          </reference>
          <reference field="0" count="1" selected="0">
            <x v="60"/>
          </reference>
        </references>
      </pivotArea>
    </chartFormat>
    <chartFormat chart="0" format="61" series="1">
      <pivotArea type="data" outline="0" fieldPosition="0">
        <references count="2">
          <reference field="4294967294" count="1" selected="0">
            <x v="0"/>
          </reference>
          <reference field="0" count="1" selected="0">
            <x v="61"/>
          </reference>
        </references>
      </pivotArea>
    </chartFormat>
    <chartFormat chart="0" format="62" series="1">
      <pivotArea type="data" outline="0" fieldPosition="0">
        <references count="2">
          <reference field="4294967294" count="1" selected="0">
            <x v="0"/>
          </reference>
          <reference field="0" count="1" selected="0">
            <x v="62"/>
          </reference>
        </references>
      </pivotArea>
    </chartFormat>
    <chartFormat chart="0" format="63" series="1">
      <pivotArea type="data" outline="0" fieldPosition="0">
        <references count="2">
          <reference field="4294967294" count="1" selected="0">
            <x v="0"/>
          </reference>
          <reference field="0" count="1" selected="0">
            <x v="63"/>
          </reference>
        </references>
      </pivotArea>
    </chartFormat>
    <chartFormat chart="0" format="64" series="1">
      <pivotArea type="data" outline="0" fieldPosition="0">
        <references count="2">
          <reference field="4294967294" count="1" selected="0">
            <x v="0"/>
          </reference>
          <reference field="0" count="1" selected="0">
            <x v="64"/>
          </reference>
        </references>
      </pivotArea>
    </chartFormat>
    <chartFormat chart="0" format="65" series="1">
      <pivotArea type="data" outline="0" fieldPosition="0">
        <references count="2">
          <reference field="4294967294" count="1" selected="0">
            <x v="0"/>
          </reference>
          <reference field="0" count="1" selected="0">
            <x v="65"/>
          </reference>
        </references>
      </pivotArea>
    </chartFormat>
    <chartFormat chart="0" format="66" series="1">
      <pivotArea type="data" outline="0" fieldPosition="0">
        <references count="2">
          <reference field="4294967294" count="1" selected="0">
            <x v="0"/>
          </reference>
          <reference field="0" count="1" selected="0">
            <x v="66"/>
          </reference>
        </references>
      </pivotArea>
    </chartFormat>
    <chartFormat chart="0" format="67" series="1">
      <pivotArea type="data" outline="0" fieldPosition="0">
        <references count="2">
          <reference field="4294967294" count="1" selected="0">
            <x v="0"/>
          </reference>
          <reference field="0" count="1" selected="0">
            <x v="67"/>
          </reference>
        </references>
      </pivotArea>
    </chartFormat>
    <chartFormat chart="0" format="68" series="1">
      <pivotArea type="data" outline="0" fieldPosition="0">
        <references count="2">
          <reference field="4294967294" count="1" selected="0">
            <x v="0"/>
          </reference>
          <reference field="0" count="1" selected="0">
            <x v="68"/>
          </reference>
        </references>
      </pivotArea>
    </chartFormat>
    <chartFormat chart="0" format="69" series="1">
      <pivotArea type="data" outline="0" fieldPosition="0">
        <references count="2">
          <reference field="4294967294" count="1" selected="0">
            <x v="0"/>
          </reference>
          <reference field="0" count="1" selected="0">
            <x v="69"/>
          </reference>
        </references>
      </pivotArea>
    </chartFormat>
    <chartFormat chart="0" format="70" series="1">
      <pivotArea type="data" outline="0" fieldPosition="0">
        <references count="2">
          <reference field="4294967294" count="1" selected="0">
            <x v="0"/>
          </reference>
          <reference field="0" count="1" selected="0">
            <x v="70"/>
          </reference>
        </references>
      </pivotArea>
    </chartFormat>
    <chartFormat chart="0" format="71" series="1">
      <pivotArea type="data" outline="0" fieldPosition="0">
        <references count="2">
          <reference field="4294967294" count="1" selected="0">
            <x v="0"/>
          </reference>
          <reference field="0" count="1" selected="0">
            <x v="71"/>
          </reference>
        </references>
      </pivotArea>
    </chartFormat>
    <chartFormat chart="0" format="72" series="1">
      <pivotArea type="data" outline="0" fieldPosition="0">
        <references count="2">
          <reference field="4294967294" count="1" selected="0">
            <x v="0"/>
          </reference>
          <reference field="0" count="1" selected="0">
            <x v="72"/>
          </reference>
        </references>
      </pivotArea>
    </chartFormat>
    <chartFormat chart="0" format="73" series="1">
      <pivotArea type="data" outline="0" fieldPosition="0">
        <references count="2">
          <reference field="4294967294" count="1" selected="0">
            <x v="0"/>
          </reference>
          <reference field="0" count="1" selected="0">
            <x v="73"/>
          </reference>
        </references>
      </pivotArea>
    </chartFormat>
    <chartFormat chart="0" format="74" series="1">
      <pivotArea type="data" outline="0" fieldPosition="0">
        <references count="2">
          <reference field="4294967294" count="1" selected="0">
            <x v="0"/>
          </reference>
          <reference field="0" count="1" selected="0">
            <x v="74"/>
          </reference>
        </references>
      </pivotArea>
    </chartFormat>
    <chartFormat chart="0" format="75" series="1">
      <pivotArea type="data" outline="0" fieldPosition="0">
        <references count="2">
          <reference field="4294967294" count="1" selected="0">
            <x v="0"/>
          </reference>
          <reference field="0" count="1" selected="0">
            <x v="75"/>
          </reference>
        </references>
      </pivotArea>
    </chartFormat>
    <chartFormat chart="0" format="76" series="1">
      <pivotArea type="data" outline="0" fieldPosition="0">
        <references count="2">
          <reference field="4294967294" count="1" selected="0">
            <x v="0"/>
          </reference>
          <reference field="0" count="1" selected="0">
            <x v="76"/>
          </reference>
        </references>
      </pivotArea>
    </chartFormat>
    <chartFormat chart="0" format="77" series="1">
      <pivotArea type="data" outline="0" fieldPosition="0">
        <references count="2">
          <reference field="4294967294" count="1" selected="0">
            <x v="0"/>
          </reference>
          <reference field="0" count="1" selected="0">
            <x v="77"/>
          </reference>
        </references>
      </pivotArea>
    </chartFormat>
    <chartFormat chart="0" format="78" series="1">
      <pivotArea type="data" outline="0" fieldPosition="0">
        <references count="2">
          <reference field="4294967294" count="1" selected="0">
            <x v="0"/>
          </reference>
          <reference field="0" count="1" selected="0">
            <x v="78"/>
          </reference>
        </references>
      </pivotArea>
    </chartFormat>
    <chartFormat chart="0" format="79" series="1">
      <pivotArea type="data" outline="0" fieldPosition="0">
        <references count="2">
          <reference field="4294967294" count="1" selected="0">
            <x v="0"/>
          </reference>
          <reference field="0" count="1" selected="0">
            <x v="79"/>
          </reference>
        </references>
      </pivotArea>
    </chartFormat>
    <chartFormat chart="0" format="80" series="1">
      <pivotArea type="data" outline="0" fieldPosition="0">
        <references count="2">
          <reference field="4294967294" count="1" selected="0">
            <x v="0"/>
          </reference>
          <reference field="0" count="1" selected="0">
            <x v="80"/>
          </reference>
        </references>
      </pivotArea>
    </chartFormat>
    <chartFormat chart="0" format="81" series="1">
      <pivotArea type="data" outline="0" fieldPosition="0">
        <references count="2">
          <reference field="4294967294" count="1" selected="0">
            <x v="0"/>
          </reference>
          <reference field="0" count="1" selected="0">
            <x v="81"/>
          </reference>
        </references>
      </pivotArea>
    </chartFormat>
    <chartFormat chart="0" format="82" series="1">
      <pivotArea type="data" outline="0" fieldPosition="0">
        <references count="2">
          <reference field="4294967294" count="1" selected="0">
            <x v="0"/>
          </reference>
          <reference field="0" count="1" selected="0">
            <x v="82"/>
          </reference>
        </references>
      </pivotArea>
    </chartFormat>
    <chartFormat chart="0" format="83" series="1">
      <pivotArea type="data" outline="0" fieldPosition="0">
        <references count="2">
          <reference field="4294967294" count="1" selected="0">
            <x v="0"/>
          </reference>
          <reference field="0" count="1" selected="0">
            <x v="83"/>
          </reference>
        </references>
      </pivotArea>
    </chartFormat>
    <chartFormat chart="0" format="84" series="1">
      <pivotArea type="data" outline="0" fieldPosition="0">
        <references count="2">
          <reference field="4294967294" count="1" selected="0">
            <x v="0"/>
          </reference>
          <reference field="0" count="1" selected="0">
            <x v="84"/>
          </reference>
        </references>
      </pivotArea>
    </chartFormat>
    <chartFormat chart="0" format="85" series="1">
      <pivotArea type="data" outline="0" fieldPosition="0">
        <references count="2">
          <reference field="4294967294" count="1" selected="0">
            <x v="0"/>
          </reference>
          <reference field="0" count="1" selected="0">
            <x v="85"/>
          </reference>
        </references>
      </pivotArea>
    </chartFormat>
    <chartFormat chart="0" format="86" series="1">
      <pivotArea type="data" outline="0" fieldPosition="0">
        <references count="2">
          <reference field="4294967294" count="1" selected="0">
            <x v="0"/>
          </reference>
          <reference field="0" count="1" selected="0">
            <x v="86"/>
          </reference>
        </references>
      </pivotArea>
    </chartFormat>
    <chartFormat chart="0" format="87" series="1">
      <pivotArea type="data" outline="0" fieldPosition="0">
        <references count="2">
          <reference field="4294967294" count="1" selected="0">
            <x v="0"/>
          </reference>
          <reference field="0" count="1" selected="0">
            <x v="87"/>
          </reference>
        </references>
      </pivotArea>
    </chartFormat>
    <chartFormat chart="0" format="88" series="1">
      <pivotArea type="data" outline="0" fieldPosition="0">
        <references count="2">
          <reference field="4294967294" count="1" selected="0">
            <x v="0"/>
          </reference>
          <reference field="0" count="1" selected="0">
            <x v="88"/>
          </reference>
        </references>
      </pivotArea>
    </chartFormat>
    <chartFormat chart="0" format="89" series="1">
      <pivotArea type="data" outline="0" fieldPosition="0">
        <references count="2">
          <reference field="4294967294" count="1" selected="0">
            <x v="0"/>
          </reference>
          <reference field="0" count="1" selected="0">
            <x v="89"/>
          </reference>
        </references>
      </pivotArea>
    </chartFormat>
    <chartFormat chart="0" format="90" series="1">
      <pivotArea type="data" outline="0" fieldPosition="0">
        <references count="2">
          <reference field="4294967294" count="1" selected="0">
            <x v="0"/>
          </reference>
          <reference field="0" count="1" selected="0">
            <x v="90"/>
          </reference>
        </references>
      </pivotArea>
    </chartFormat>
    <chartFormat chart="0" format="91" series="1">
      <pivotArea type="data" outline="0" fieldPosition="0">
        <references count="2">
          <reference field="4294967294" count="1" selected="0">
            <x v="0"/>
          </reference>
          <reference field="0" count="1" selected="0">
            <x v="91"/>
          </reference>
        </references>
      </pivotArea>
    </chartFormat>
    <chartFormat chart="0" format="92" series="1">
      <pivotArea type="data" outline="0" fieldPosition="0">
        <references count="2">
          <reference field="4294967294" count="1" selected="0">
            <x v="0"/>
          </reference>
          <reference field="0" count="1" selected="0">
            <x v="92"/>
          </reference>
        </references>
      </pivotArea>
    </chartFormat>
    <chartFormat chart="0" format="93" series="1">
      <pivotArea type="data" outline="0" fieldPosition="0">
        <references count="2">
          <reference field="4294967294" count="1" selected="0">
            <x v="0"/>
          </reference>
          <reference field="0" count="1" selected="0">
            <x v="93"/>
          </reference>
        </references>
      </pivotArea>
    </chartFormat>
    <chartFormat chart="0" format="94" series="1">
      <pivotArea type="data" outline="0" fieldPosition="0">
        <references count="2">
          <reference field="4294967294" count="1" selected="0">
            <x v="0"/>
          </reference>
          <reference field="0" count="1" selected="0">
            <x v="94"/>
          </reference>
        </references>
      </pivotArea>
    </chartFormat>
    <chartFormat chart="0" format="95" series="1">
      <pivotArea type="data" outline="0" fieldPosition="0">
        <references count="2">
          <reference field="4294967294" count="1" selected="0">
            <x v="0"/>
          </reference>
          <reference field="0" count="1" selected="0">
            <x v="95"/>
          </reference>
        </references>
      </pivotArea>
    </chartFormat>
    <chartFormat chart="0" format="96" series="1">
      <pivotArea type="data" outline="0" fieldPosition="0">
        <references count="2">
          <reference field="4294967294" count="1" selected="0">
            <x v="0"/>
          </reference>
          <reference field="0" count="1" selected="0">
            <x v="96"/>
          </reference>
        </references>
      </pivotArea>
    </chartFormat>
    <chartFormat chart="0" format="97" series="1">
      <pivotArea type="data" outline="0" fieldPosition="0">
        <references count="2">
          <reference field="4294967294" count="1" selected="0">
            <x v="0"/>
          </reference>
          <reference field="0" count="1" selected="0">
            <x v="97"/>
          </reference>
        </references>
      </pivotArea>
    </chartFormat>
    <chartFormat chart="0" format="98" series="1">
      <pivotArea type="data" outline="0" fieldPosition="0">
        <references count="2">
          <reference field="4294967294" count="1" selected="0">
            <x v="0"/>
          </reference>
          <reference field="0" count="1" selected="0">
            <x v="98"/>
          </reference>
        </references>
      </pivotArea>
    </chartFormat>
    <chartFormat chart="2" format="198" series="1">
      <pivotArea type="data" outline="0" fieldPosition="0">
        <references count="2">
          <reference field="4294967294" count="1" selected="0">
            <x v="0"/>
          </reference>
          <reference field="0" count="1" selected="0">
            <x v="0"/>
          </reference>
        </references>
      </pivotArea>
    </chartFormat>
    <chartFormat chart="2" format="199" series="1">
      <pivotArea type="data" outline="0" fieldPosition="0">
        <references count="2">
          <reference field="4294967294" count="1" selected="0">
            <x v="0"/>
          </reference>
          <reference field="0" count="1" selected="0">
            <x v="1"/>
          </reference>
        </references>
      </pivotArea>
    </chartFormat>
    <chartFormat chart="2" format="200" series="1">
      <pivotArea type="data" outline="0" fieldPosition="0">
        <references count="2">
          <reference field="4294967294" count="1" selected="0">
            <x v="0"/>
          </reference>
          <reference field="0" count="1" selected="0">
            <x v="2"/>
          </reference>
        </references>
      </pivotArea>
    </chartFormat>
    <chartFormat chart="2" format="201" series="1">
      <pivotArea type="data" outline="0" fieldPosition="0">
        <references count="2">
          <reference field="4294967294" count="1" selected="0">
            <x v="0"/>
          </reference>
          <reference field="0" count="1" selected="0">
            <x v="3"/>
          </reference>
        </references>
      </pivotArea>
    </chartFormat>
    <chartFormat chart="2" format="202" series="1">
      <pivotArea type="data" outline="0" fieldPosition="0">
        <references count="2">
          <reference field="4294967294" count="1" selected="0">
            <x v="0"/>
          </reference>
          <reference field="0" count="1" selected="0">
            <x v="4"/>
          </reference>
        </references>
      </pivotArea>
    </chartFormat>
    <chartFormat chart="2" format="203" series="1">
      <pivotArea type="data" outline="0" fieldPosition="0">
        <references count="2">
          <reference field="4294967294" count="1" selected="0">
            <x v="0"/>
          </reference>
          <reference field="0" count="1" selected="0">
            <x v="5"/>
          </reference>
        </references>
      </pivotArea>
    </chartFormat>
    <chartFormat chart="2" format="204" series="1">
      <pivotArea type="data" outline="0" fieldPosition="0">
        <references count="2">
          <reference field="4294967294" count="1" selected="0">
            <x v="0"/>
          </reference>
          <reference field="0" count="1" selected="0">
            <x v="6"/>
          </reference>
        </references>
      </pivotArea>
    </chartFormat>
    <chartFormat chart="2" format="205" series="1">
      <pivotArea type="data" outline="0" fieldPosition="0">
        <references count="2">
          <reference field="4294967294" count="1" selected="0">
            <x v="0"/>
          </reference>
          <reference field="0" count="1" selected="0">
            <x v="7"/>
          </reference>
        </references>
      </pivotArea>
    </chartFormat>
    <chartFormat chart="2" format="206" series="1">
      <pivotArea type="data" outline="0" fieldPosition="0">
        <references count="2">
          <reference field="4294967294" count="1" selected="0">
            <x v="0"/>
          </reference>
          <reference field="0" count="1" selected="0">
            <x v="8"/>
          </reference>
        </references>
      </pivotArea>
    </chartFormat>
    <chartFormat chart="2" format="207" series="1">
      <pivotArea type="data" outline="0" fieldPosition="0">
        <references count="2">
          <reference field="4294967294" count="1" selected="0">
            <x v="0"/>
          </reference>
          <reference field="0" count="1" selected="0">
            <x v="9"/>
          </reference>
        </references>
      </pivotArea>
    </chartFormat>
    <chartFormat chart="2" format="208" series="1">
      <pivotArea type="data" outline="0" fieldPosition="0">
        <references count="2">
          <reference field="4294967294" count="1" selected="0">
            <x v="0"/>
          </reference>
          <reference field="0" count="1" selected="0">
            <x v="10"/>
          </reference>
        </references>
      </pivotArea>
    </chartFormat>
    <chartFormat chart="2" format="209" series="1">
      <pivotArea type="data" outline="0" fieldPosition="0">
        <references count="2">
          <reference field="4294967294" count="1" selected="0">
            <x v="0"/>
          </reference>
          <reference field="0" count="1" selected="0">
            <x v="11"/>
          </reference>
        </references>
      </pivotArea>
    </chartFormat>
    <chartFormat chart="2" format="210" series="1">
      <pivotArea type="data" outline="0" fieldPosition="0">
        <references count="2">
          <reference field="4294967294" count="1" selected="0">
            <x v="0"/>
          </reference>
          <reference field="0" count="1" selected="0">
            <x v="12"/>
          </reference>
        </references>
      </pivotArea>
    </chartFormat>
    <chartFormat chart="2" format="211" series="1">
      <pivotArea type="data" outline="0" fieldPosition="0">
        <references count="2">
          <reference field="4294967294" count="1" selected="0">
            <x v="0"/>
          </reference>
          <reference field="0" count="1" selected="0">
            <x v="13"/>
          </reference>
        </references>
      </pivotArea>
    </chartFormat>
    <chartFormat chart="2" format="212" series="1">
      <pivotArea type="data" outline="0" fieldPosition="0">
        <references count="2">
          <reference field="4294967294" count="1" selected="0">
            <x v="0"/>
          </reference>
          <reference field="0" count="1" selected="0">
            <x v="14"/>
          </reference>
        </references>
      </pivotArea>
    </chartFormat>
    <chartFormat chart="2" format="213" series="1">
      <pivotArea type="data" outline="0" fieldPosition="0">
        <references count="2">
          <reference field="4294967294" count="1" selected="0">
            <x v="0"/>
          </reference>
          <reference field="0" count="1" selected="0">
            <x v="15"/>
          </reference>
        </references>
      </pivotArea>
    </chartFormat>
    <chartFormat chart="2" format="214" series="1">
      <pivotArea type="data" outline="0" fieldPosition="0">
        <references count="2">
          <reference field="4294967294" count="1" selected="0">
            <x v="0"/>
          </reference>
          <reference field="0" count="1" selected="0">
            <x v="16"/>
          </reference>
        </references>
      </pivotArea>
    </chartFormat>
    <chartFormat chart="2" format="215" series="1">
      <pivotArea type="data" outline="0" fieldPosition="0">
        <references count="2">
          <reference field="4294967294" count="1" selected="0">
            <x v="0"/>
          </reference>
          <reference field="0" count="1" selected="0">
            <x v="17"/>
          </reference>
        </references>
      </pivotArea>
    </chartFormat>
    <chartFormat chart="2" format="216" series="1">
      <pivotArea type="data" outline="0" fieldPosition="0">
        <references count="2">
          <reference field="4294967294" count="1" selected="0">
            <x v="0"/>
          </reference>
          <reference field="0" count="1" selected="0">
            <x v="18"/>
          </reference>
        </references>
      </pivotArea>
    </chartFormat>
    <chartFormat chart="2" format="217" series="1">
      <pivotArea type="data" outline="0" fieldPosition="0">
        <references count="2">
          <reference field="4294967294" count="1" selected="0">
            <x v="0"/>
          </reference>
          <reference field="0" count="1" selected="0">
            <x v="19"/>
          </reference>
        </references>
      </pivotArea>
    </chartFormat>
    <chartFormat chart="2" format="218" series="1">
      <pivotArea type="data" outline="0" fieldPosition="0">
        <references count="2">
          <reference field="4294967294" count="1" selected="0">
            <x v="0"/>
          </reference>
          <reference field="0" count="1" selected="0">
            <x v="20"/>
          </reference>
        </references>
      </pivotArea>
    </chartFormat>
    <chartFormat chart="2" format="219" series="1">
      <pivotArea type="data" outline="0" fieldPosition="0">
        <references count="2">
          <reference field="4294967294" count="1" selected="0">
            <x v="0"/>
          </reference>
          <reference field="0" count="1" selected="0">
            <x v="21"/>
          </reference>
        </references>
      </pivotArea>
    </chartFormat>
    <chartFormat chart="2" format="220" series="1">
      <pivotArea type="data" outline="0" fieldPosition="0">
        <references count="2">
          <reference field="4294967294" count="1" selected="0">
            <x v="0"/>
          </reference>
          <reference field="0" count="1" selected="0">
            <x v="22"/>
          </reference>
        </references>
      </pivotArea>
    </chartFormat>
    <chartFormat chart="2" format="221" series="1">
      <pivotArea type="data" outline="0" fieldPosition="0">
        <references count="2">
          <reference field="4294967294" count="1" selected="0">
            <x v="0"/>
          </reference>
          <reference field="0" count="1" selected="0">
            <x v="23"/>
          </reference>
        </references>
      </pivotArea>
    </chartFormat>
    <chartFormat chart="2" format="222" series="1">
      <pivotArea type="data" outline="0" fieldPosition="0">
        <references count="2">
          <reference field="4294967294" count="1" selected="0">
            <x v="0"/>
          </reference>
          <reference field="0" count="1" selected="0">
            <x v="24"/>
          </reference>
        </references>
      </pivotArea>
    </chartFormat>
    <chartFormat chart="2" format="223" series="1">
      <pivotArea type="data" outline="0" fieldPosition="0">
        <references count="2">
          <reference field="4294967294" count="1" selected="0">
            <x v="0"/>
          </reference>
          <reference field="0" count="1" selected="0">
            <x v="25"/>
          </reference>
        </references>
      </pivotArea>
    </chartFormat>
    <chartFormat chart="2" format="224" series="1">
      <pivotArea type="data" outline="0" fieldPosition="0">
        <references count="2">
          <reference field="4294967294" count="1" selected="0">
            <x v="0"/>
          </reference>
          <reference field="0" count="1" selected="0">
            <x v="26"/>
          </reference>
        </references>
      </pivotArea>
    </chartFormat>
    <chartFormat chart="2" format="225" series="1">
      <pivotArea type="data" outline="0" fieldPosition="0">
        <references count="2">
          <reference field="4294967294" count="1" selected="0">
            <x v="0"/>
          </reference>
          <reference field="0" count="1" selected="0">
            <x v="27"/>
          </reference>
        </references>
      </pivotArea>
    </chartFormat>
    <chartFormat chart="2" format="226" series="1">
      <pivotArea type="data" outline="0" fieldPosition="0">
        <references count="2">
          <reference field="4294967294" count="1" selected="0">
            <x v="0"/>
          </reference>
          <reference field="0" count="1" selected="0">
            <x v="28"/>
          </reference>
        </references>
      </pivotArea>
    </chartFormat>
    <chartFormat chart="2" format="227" series="1">
      <pivotArea type="data" outline="0" fieldPosition="0">
        <references count="2">
          <reference field="4294967294" count="1" selected="0">
            <x v="0"/>
          </reference>
          <reference field="0" count="1" selected="0">
            <x v="29"/>
          </reference>
        </references>
      </pivotArea>
    </chartFormat>
    <chartFormat chart="2" format="228" series="1">
      <pivotArea type="data" outline="0" fieldPosition="0">
        <references count="2">
          <reference field="4294967294" count="1" selected="0">
            <x v="0"/>
          </reference>
          <reference field="0" count="1" selected="0">
            <x v="30"/>
          </reference>
        </references>
      </pivotArea>
    </chartFormat>
    <chartFormat chart="2" format="229" series="1">
      <pivotArea type="data" outline="0" fieldPosition="0">
        <references count="2">
          <reference field="4294967294" count="1" selected="0">
            <x v="0"/>
          </reference>
          <reference field="0" count="1" selected="0">
            <x v="31"/>
          </reference>
        </references>
      </pivotArea>
    </chartFormat>
    <chartFormat chart="2" format="230" series="1">
      <pivotArea type="data" outline="0" fieldPosition="0">
        <references count="2">
          <reference field="4294967294" count="1" selected="0">
            <x v="0"/>
          </reference>
          <reference field="0" count="1" selected="0">
            <x v="32"/>
          </reference>
        </references>
      </pivotArea>
    </chartFormat>
    <chartFormat chart="2" format="231" series="1">
      <pivotArea type="data" outline="0" fieldPosition="0">
        <references count="2">
          <reference field="4294967294" count="1" selected="0">
            <x v="0"/>
          </reference>
          <reference field="0" count="1" selected="0">
            <x v="33"/>
          </reference>
        </references>
      </pivotArea>
    </chartFormat>
    <chartFormat chart="2" format="232" series="1">
      <pivotArea type="data" outline="0" fieldPosition="0">
        <references count="2">
          <reference field="4294967294" count="1" selected="0">
            <x v="0"/>
          </reference>
          <reference field="0" count="1" selected="0">
            <x v="34"/>
          </reference>
        </references>
      </pivotArea>
    </chartFormat>
    <chartFormat chart="2" format="233" series="1">
      <pivotArea type="data" outline="0" fieldPosition="0">
        <references count="2">
          <reference field="4294967294" count="1" selected="0">
            <x v="0"/>
          </reference>
          <reference field="0" count="1" selected="0">
            <x v="35"/>
          </reference>
        </references>
      </pivotArea>
    </chartFormat>
    <chartFormat chart="2" format="234" series="1">
      <pivotArea type="data" outline="0" fieldPosition="0">
        <references count="2">
          <reference field="4294967294" count="1" selected="0">
            <x v="0"/>
          </reference>
          <reference field="0" count="1" selected="0">
            <x v="36"/>
          </reference>
        </references>
      </pivotArea>
    </chartFormat>
    <chartFormat chart="2" format="235" series="1">
      <pivotArea type="data" outline="0" fieldPosition="0">
        <references count="2">
          <reference field="4294967294" count="1" selected="0">
            <x v="0"/>
          </reference>
          <reference field="0" count="1" selected="0">
            <x v="37"/>
          </reference>
        </references>
      </pivotArea>
    </chartFormat>
    <chartFormat chart="2" format="236" series="1">
      <pivotArea type="data" outline="0" fieldPosition="0">
        <references count="2">
          <reference field="4294967294" count="1" selected="0">
            <x v="0"/>
          </reference>
          <reference field="0" count="1" selected="0">
            <x v="38"/>
          </reference>
        </references>
      </pivotArea>
    </chartFormat>
    <chartFormat chart="2" format="237" series="1">
      <pivotArea type="data" outline="0" fieldPosition="0">
        <references count="2">
          <reference field="4294967294" count="1" selected="0">
            <x v="0"/>
          </reference>
          <reference field="0" count="1" selected="0">
            <x v="39"/>
          </reference>
        </references>
      </pivotArea>
    </chartFormat>
    <chartFormat chart="2" format="238" series="1">
      <pivotArea type="data" outline="0" fieldPosition="0">
        <references count="2">
          <reference field="4294967294" count="1" selected="0">
            <x v="0"/>
          </reference>
          <reference field="0" count="1" selected="0">
            <x v="40"/>
          </reference>
        </references>
      </pivotArea>
    </chartFormat>
    <chartFormat chart="2" format="239" series="1">
      <pivotArea type="data" outline="0" fieldPosition="0">
        <references count="2">
          <reference field="4294967294" count="1" selected="0">
            <x v="0"/>
          </reference>
          <reference field="0" count="1" selected="0">
            <x v="41"/>
          </reference>
        </references>
      </pivotArea>
    </chartFormat>
    <chartFormat chart="2" format="240" series="1">
      <pivotArea type="data" outline="0" fieldPosition="0">
        <references count="2">
          <reference field="4294967294" count="1" selected="0">
            <x v="0"/>
          </reference>
          <reference field="0" count="1" selected="0">
            <x v="42"/>
          </reference>
        </references>
      </pivotArea>
    </chartFormat>
    <chartFormat chart="2" format="241" series="1">
      <pivotArea type="data" outline="0" fieldPosition="0">
        <references count="2">
          <reference field="4294967294" count="1" selected="0">
            <x v="0"/>
          </reference>
          <reference field="0" count="1" selected="0">
            <x v="43"/>
          </reference>
        </references>
      </pivotArea>
    </chartFormat>
    <chartFormat chart="2" format="242" series="1">
      <pivotArea type="data" outline="0" fieldPosition="0">
        <references count="2">
          <reference field="4294967294" count="1" selected="0">
            <x v="0"/>
          </reference>
          <reference field="0" count="1" selected="0">
            <x v="44"/>
          </reference>
        </references>
      </pivotArea>
    </chartFormat>
    <chartFormat chart="2" format="243" series="1">
      <pivotArea type="data" outline="0" fieldPosition="0">
        <references count="2">
          <reference field="4294967294" count="1" selected="0">
            <x v="0"/>
          </reference>
          <reference field="0" count="1" selected="0">
            <x v="45"/>
          </reference>
        </references>
      </pivotArea>
    </chartFormat>
    <chartFormat chart="2" format="244" series="1">
      <pivotArea type="data" outline="0" fieldPosition="0">
        <references count="2">
          <reference field="4294967294" count="1" selected="0">
            <x v="0"/>
          </reference>
          <reference field="0" count="1" selected="0">
            <x v="46"/>
          </reference>
        </references>
      </pivotArea>
    </chartFormat>
    <chartFormat chart="2" format="245" series="1">
      <pivotArea type="data" outline="0" fieldPosition="0">
        <references count="2">
          <reference field="4294967294" count="1" selected="0">
            <x v="0"/>
          </reference>
          <reference field="0" count="1" selected="0">
            <x v="47"/>
          </reference>
        </references>
      </pivotArea>
    </chartFormat>
    <chartFormat chart="2" format="246" series="1">
      <pivotArea type="data" outline="0" fieldPosition="0">
        <references count="2">
          <reference field="4294967294" count="1" selected="0">
            <x v="0"/>
          </reference>
          <reference field="0" count="1" selected="0">
            <x v="48"/>
          </reference>
        </references>
      </pivotArea>
    </chartFormat>
    <chartFormat chart="2" format="247" series="1">
      <pivotArea type="data" outline="0" fieldPosition="0">
        <references count="2">
          <reference field="4294967294" count="1" selected="0">
            <x v="0"/>
          </reference>
          <reference field="0" count="1" selected="0">
            <x v="49"/>
          </reference>
        </references>
      </pivotArea>
    </chartFormat>
    <chartFormat chart="2" format="248" series="1">
      <pivotArea type="data" outline="0" fieldPosition="0">
        <references count="2">
          <reference field="4294967294" count="1" selected="0">
            <x v="0"/>
          </reference>
          <reference field="0" count="1" selected="0">
            <x v="50"/>
          </reference>
        </references>
      </pivotArea>
    </chartFormat>
    <chartFormat chart="2" format="249" series="1">
      <pivotArea type="data" outline="0" fieldPosition="0">
        <references count="2">
          <reference field="4294967294" count="1" selected="0">
            <x v="0"/>
          </reference>
          <reference field="0" count="1" selected="0">
            <x v="51"/>
          </reference>
        </references>
      </pivotArea>
    </chartFormat>
    <chartFormat chart="2" format="250" series="1">
      <pivotArea type="data" outline="0" fieldPosition="0">
        <references count="2">
          <reference field="4294967294" count="1" selected="0">
            <x v="0"/>
          </reference>
          <reference field="0" count="1" selected="0">
            <x v="52"/>
          </reference>
        </references>
      </pivotArea>
    </chartFormat>
    <chartFormat chart="2" format="251" series="1">
      <pivotArea type="data" outline="0" fieldPosition="0">
        <references count="2">
          <reference field="4294967294" count="1" selected="0">
            <x v="0"/>
          </reference>
          <reference field="0" count="1" selected="0">
            <x v="53"/>
          </reference>
        </references>
      </pivotArea>
    </chartFormat>
    <chartFormat chart="2" format="252" series="1">
      <pivotArea type="data" outline="0" fieldPosition="0">
        <references count="2">
          <reference field="4294967294" count="1" selected="0">
            <x v="0"/>
          </reference>
          <reference field="0" count="1" selected="0">
            <x v="54"/>
          </reference>
        </references>
      </pivotArea>
    </chartFormat>
    <chartFormat chart="2" format="253" series="1">
      <pivotArea type="data" outline="0" fieldPosition="0">
        <references count="2">
          <reference field="4294967294" count="1" selected="0">
            <x v="0"/>
          </reference>
          <reference field="0" count="1" selected="0">
            <x v="55"/>
          </reference>
        </references>
      </pivotArea>
    </chartFormat>
    <chartFormat chart="2" format="254" series="1">
      <pivotArea type="data" outline="0" fieldPosition="0">
        <references count="2">
          <reference field="4294967294" count="1" selected="0">
            <x v="0"/>
          </reference>
          <reference field="0" count="1" selected="0">
            <x v="56"/>
          </reference>
        </references>
      </pivotArea>
    </chartFormat>
    <chartFormat chart="2" format="255" series="1">
      <pivotArea type="data" outline="0" fieldPosition="0">
        <references count="2">
          <reference field="4294967294" count="1" selected="0">
            <x v="0"/>
          </reference>
          <reference field="0" count="1" selected="0">
            <x v="57"/>
          </reference>
        </references>
      </pivotArea>
    </chartFormat>
    <chartFormat chart="2" format="256" series="1">
      <pivotArea type="data" outline="0" fieldPosition="0">
        <references count="2">
          <reference field="4294967294" count="1" selected="0">
            <x v="0"/>
          </reference>
          <reference field="0" count="1" selected="0">
            <x v="58"/>
          </reference>
        </references>
      </pivotArea>
    </chartFormat>
    <chartFormat chart="2" format="257" series="1">
      <pivotArea type="data" outline="0" fieldPosition="0">
        <references count="2">
          <reference field="4294967294" count="1" selected="0">
            <x v="0"/>
          </reference>
          <reference field="0" count="1" selected="0">
            <x v="59"/>
          </reference>
        </references>
      </pivotArea>
    </chartFormat>
    <chartFormat chart="2" format="258" series="1">
      <pivotArea type="data" outline="0" fieldPosition="0">
        <references count="2">
          <reference field="4294967294" count="1" selected="0">
            <x v="0"/>
          </reference>
          <reference field="0" count="1" selected="0">
            <x v="60"/>
          </reference>
        </references>
      </pivotArea>
    </chartFormat>
    <chartFormat chart="2" format="259" series="1">
      <pivotArea type="data" outline="0" fieldPosition="0">
        <references count="2">
          <reference field="4294967294" count="1" selected="0">
            <x v="0"/>
          </reference>
          <reference field="0" count="1" selected="0">
            <x v="61"/>
          </reference>
        </references>
      </pivotArea>
    </chartFormat>
    <chartFormat chart="2" format="260" series="1">
      <pivotArea type="data" outline="0" fieldPosition="0">
        <references count="2">
          <reference field="4294967294" count="1" selected="0">
            <x v="0"/>
          </reference>
          <reference field="0" count="1" selected="0">
            <x v="62"/>
          </reference>
        </references>
      </pivotArea>
    </chartFormat>
    <chartFormat chart="2" format="261" series="1">
      <pivotArea type="data" outline="0" fieldPosition="0">
        <references count="2">
          <reference field="4294967294" count="1" selected="0">
            <x v="0"/>
          </reference>
          <reference field="0" count="1" selected="0">
            <x v="63"/>
          </reference>
        </references>
      </pivotArea>
    </chartFormat>
    <chartFormat chart="2" format="262" series="1">
      <pivotArea type="data" outline="0" fieldPosition="0">
        <references count="2">
          <reference field="4294967294" count="1" selected="0">
            <x v="0"/>
          </reference>
          <reference field="0" count="1" selected="0">
            <x v="64"/>
          </reference>
        </references>
      </pivotArea>
    </chartFormat>
    <chartFormat chart="2" format="263" series="1">
      <pivotArea type="data" outline="0" fieldPosition="0">
        <references count="2">
          <reference field="4294967294" count="1" selected="0">
            <x v="0"/>
          </reference>
          <reference field="0" count="1" selected="0">
            <x v="65"/>
          </reference>
        </references>
      </pivotArea>
    </chartFormat>
    <chartFormat chart="2" format="264" series="1">
      <pivotArea type="data" outline="0" fieldPosition="0">
        <references count="2">
          <reference field="4294967294" count="1" selected="0">
            <x v="0"/>
          </reference>
          <reference field="0" count="1" selected="0">
            <x v="66"/>
          </reference>
        </references>
      </pivotArea>
    </chartFormat>
    <chartFormat chart="2" format="265" series="1">
      <pivotArea type="data" outline="0" fieldPosition="0">
        <references count="2">
          <reference field="4294967294" count="1" selected="0">
            <x v="0"/>
          </reference>
          <reference field="0" count="1" selected="0">
            <x v="67"/>
          </reference>
        </references>
      </pivotArea>
    </chartFormat>
    <chartFormat chart="2" format="266" series="1">
      <pivotArea type="data" outline="0" fieldPosition="0">
        <references count="2">
          <reference field="4294967294" count="1" selected="0">
            <x v="0"/>
          </reference>
          <reference field="0" count="1" selected="0">
            <x v="68"/>
          </reference>
        </references>
      </pivotArea>
    </chartFormat>
    <chartFormat chart="2" format="267" series="1">
      <pivotArea type="data" outline="0" fieldPosition="0">
        <references count="2">
          <reference field="4294967294" count="1" selected="0">
            <x v="0"/>
          </reference>
          <reference field="0" count="1" selected="0">
            <x v="69"/>
          </reference>
        </references>
      </pivotArea>
    </chartFormat>
    <chartFormat chart="2" format="268" series="1">
      <pivotArea type="data" outline="0" fieldPosition="0">
        <references count="2">
          <reference field="4294967294" count="1" selected="0">
            <x v="0"/>
          </reference>
          <reference field="0" count="1" selected="0">
            <x v="70"/>
          </reference>
        </references>
      </pivotArea>
    </chartFormat>
    <chartFormat chart="2" format="269" series="1">
      <pivotArea type="data" outline="0" fieldPosition="0">
        <references count="2">
          <reference field="4294967294" count="1" selected="0">
            <x v="0"/>
          </reference>
          <reference field="0" count="1" selected="0">
            <x v="71"/>
          </reference>
        </references>
      </pivotArea>
    </chartFormat>
    <chartFormat chart="2" format="270" series="1">
      <pivotArea type="data" outline="0" fieldPosition="0">
        <references count="2">
          <reference field="4294967294" count="1" selected="0">
            <x v="0"/>
          </reference>
          <reference field="0" count="1" selected="0">
            <x v="72"/>
          </reference>
        </references>
      </pivotArea>
    </chartFormat>
    <chartFormat chart="2" format="271" series="1">
      <pivotArea type="data" outline="0" fieldPosition="0">
        <references count="2">
          <reference field="4294967294" count="1" selected="0">
            <x v="0"/>
          </reference>
          <reference field="0" count="1" selected="0">
            <x v="73"/>
          </reference>
        </references>
      </pivotArea>
    </chartFormat>
    <chartFormat chart="2" format="272" series="1">
      <pivotArea type="data" outline="0" fieldPosition="0">
        <references count="2">
          <reference field="4294967294" count="1" selected="0">
            <x v="0"/>
          </reference>
          <reference field="0" count="1" selected="0">
            <x v="74"/>
          </reference>
        </references>
      </pivotArea>
    </chartFormat>
    <chartFormat chart="2" format="273" series="1">
      <pivotArea type="data" outline="0" fieldPosition="0">
        <references count="2">
          <reference field="4294967294" count="1" selected="0">
            <x v="0"/>
          </reference>
          <reference field="0" count="1" selected="0">
            <x v="75"/>
          </reference>
        </references>
      </pivotArea>
    </chartFormat>
    <chartFormat chart="2" format="274" series="1">
      <pivotArea type="data" outline="0" fieldPosition="0">
        <references count="2">
          <reference field="4294967294" count="1" selected="0">
            <x v="0"/>
          </reference>
          <reference field="0" count="1" selected="0">
            <x v="76"/>
          </reference>
        </references>
      </pivotArea>
    </chartFormat>
    <chartFormat chart="2" format="275" series="1">
      <pivotArea type="data" outline="0" fieldPosition="0">
        <references count="2">
          <reference field="4294967294" count="1" selected="0">
            <x v="0"/>
          </reference>
          <reference field="0" count="1" selected="0">
            <x v="77"/>
          </reference>
        </references>
      </pivotArea>
    </chartFormat>
    <chartFormat chart="2" format="276" series="1">
      <pivotArea type="data" outline="0" fieldPosition="0">
        <references count="2">
          <reference field="4294967294" count="1" selected="0">
            <x v="0"/>
          </reference>
          <reference field="0" count="1" selected="0">
            <x v="78"/>
          </reference>
        </references>
      </pivotArea>
    </chartFormat>
    <chartFormat chart="2" format="277" series="1">
      <pivotArea type="data" outline="0" fieldPosition="0">
        <references count="2">
          <reference field="4294967294" count="1" selected="0">
            <x v="0"/>
          </reference>
          <reference field="0" count="1" selected="0">
            <x v="79"/>
          </reference>
        </references>
      </pivotArea>
    </chartFormat>
    <chartFormat chart="2" format="278" series="1">
      <pivotArea type="data" outline="0" fieldPosition="0">
        <references count="2">
          <reference field="4294967294" count="1" selected="0">
            <x v="0"/>
          </reference>
          <reference field="0" count="1" selected="0">
            <x v="80"/>
          </reference>
        </references>
      </pivotArea>
    </chartFormat>
    <chartFormat chart="2" format="279" series="1">
      <pivotArea type="data" outline="0" fieldPosition="0">
        <references count="2">
          <reference field="4294967294" count="1" selected="0">
            <x v="0"/>
          </reference>
          <reference field="0" count="1" selected="0">
            <x v="81"/>
          </reference>
        </references>
      </pivotArea>
    </chartFormat>
    <chartFormat chart="2" format="280" series="1">
      <pivotArea type="data" outline="0" fieldPosition="0">
        <references count="2">
          <reference field="4294967294" count="1" selected="0">
            <x v="0"/>
          </reference>
          <reference field="0" count="1" selected="0">
            <x v="82"/>
          </reference>
        </references>
      </pivotArea>
    </chartFormat>
    <chartFormat chart="2" format="281" series="1">
      <pivotArea type="data" outline="0" fieldPosition="0">
        <references count="2">
          <reference field="4294967294" count="1" selected="0">
            <x v="0"/>
          </reference>
          <reference field="0" count="1" selected="0">
            <x v="83"/>
          </reference>
        </references>
      </pivotArea>
    </chartFormat>
    <chartFormat chart="2" format="282" series="1">
      <pivotArea type="data" outline="0" fieldPosition="0">
        <references count="2">
          <reference field="4294967294" count="1" selected="0">
            <x v="0"/>
          </reference>
          <reference field="0" count="1" selected="0">
            <x v="84"/>
          </reference>
        </references>
      </pivotArea>
    </chartFormat>
    <chartFormat chart="2" format="283" series="1">
      <pivotArea type="data" outline="0" fieldPosition="0">
        <references count="2">
          <reference field="4294967294" count="1" selected="0">
            <x v="0"/>
          </reference>
          <reference field="0" count="1" selected="0">
            <x v="85"/>
          </reference>
        </references>
      </pivotArea>
    </chartFormat>
    <chartFormat chart="2" format="284" series="1">
      <pivotArea type="data" outline="0" fieldPosition="0">
        <references count="2">
          <reference field="4294967294" count="1" selected="0">
            <x v="0"/>
          </reference>
          <reference field="0" count="1" selected="0">
            <x v="86"/>
          </reference>
        </references>
      </pivotArea>
    </chartFormat>
    <chartFormat chart="2" format="285" series="1">
      <pivotArea type="data" outline="0" fieldPosition="0">
        <references count="2">
          <reference field="4294967294" count="1" selected="0">
            <x v="0"/>
          </reference>
          <reference field="0" count="1" selected="0">
            <x v="87"/>
          </reference>
        </references>
      </pivotArea>
    </chartFormat>
    <chartFormat chart="2" format="286" series="1">
      <pivotArea type="data" outline="0" fieldPosition="0">
        <references count="2">
          <reference field="4294967294" count="1" selected="0">
            <x v="0"/>
          </reference>
          <reference field="0" count="1" selected="0">
            <x v="88"/>
          </reference>
        </references>
      </pivotArea>
    </chartFormat>
    <chartFormat chart="2" format="287" series="1">
      <pivotArea type="data" outline="0" fieldPosition="0">
        <references count="2">
          <reference field="4294967294" count="1" selected="0">
            <x v="0"/>
          </reference>
          <reference field="0" count="1" selected="0">
            <x v="89"/>
          </reference>
        </references>
      </pivotArea>
    </chartFormat>
    <chartFormat chart="2" format="288" series="1">
      <pivotArea type="data" outline="0" fieldPosition="0">
        <references count="2">
          <reference field="4294967294" count="1" selected="0">
            <x v="0"/>
          </reference>
          <reference field="0" count="1" selected="0">
            <x v="90"/>
          </reference>
        </references>
      </pivotArea>
    </chartFormat>
    <chartFormat chart="2" format="289" series="1">
      <pivotArea type="data" outline="0" fieldPosition="0">
        <references count="2">
          <reference field="4294967294" count="1" selected="0">
            <x v="0"/>
          </reference>
          <reference field="0" count="1" selected="0">
            <x v="91"/>
          </reference>
        </references>
      </pivotArea>
    </chartFormat>
    <chartFormat chart="2" format="290" series="1">
      <pivotArea type="data" outline="0" fieldPosition="0">
        <references count="2">
          <reference field="4294967294" count="1" selected="0">
            <x v="0"/>
          </reference>
          <reference field="0" count="1" selected="0">
            <x v="92"/>
          </reference>
        </references>
      </pivotArea>
    </chartFormat>
    <chartFormat chart="2" format="291" series="1">
      <pivotArea type="data" outline="0" fieldPosition="0">
        <references count="2">
          <reference field="4294967294" count="1" selected="0">
            <x v="0"/>
          </reference>
          <reference field="0" count="1" selected="0">
            <x v="93"/>
          </reference>
        </references>
      </pivotArea>
    </chartFormat>
    <chartFormat chart="2" format="292" series="1">
      <pivotArea type="data" outline="0" fieldPosition="0">
        <references count="2">
          <reference field="4294967294" count="1" selected="0">
            <x v="0"/>
          </reference>
          <reference field="0" count="1" selected="0">
            <x v="94"/>
          </reference>
        </references>
      </pivotArea>
    </chartFormat>
    <chartFormat chart="2" format="293" series="1">
      <pivotArea type="data" outline="0" fieldPosition="0">
        <references count="2">
          <reference field="4294967294" count="1" selected="0">
            <x v="0"/>
          </reference>
          <reference field="0" count="1" selected="0">
            <x v="95"/>
          </reference>
        </references>
      </pivotArea>
    </chartFormat>
    <chartFormat chart="2" format="294" series="1">
      <pivotArea type="data" outline="0" fieldPosition="0">
        <references count="2">
          <reference field="4294967294" count="1" selected="0">
            <x v="0"/>
          </reference>
          <reference field="0" count="1" selected="0">
            <x v="96"/>
          </reference>
        </references>
      </pivotArea>
    </chartFormat>
    <chartFormat chart="2" format="295" series="1">
      <pivotArea type="data" outline="0" fieldPosition="0">
        <references count="2">
          <reference field="4294967294" count="1" selected="0">
            <x v="0"/>
          </reference>
          <reference field="0" count="1" selected="0">
            <x v="97"/>
          </reference>
        </references>
      </pivotArea>
    </chartFormat>
    <chartFormat chart="2" format="296" series="1">
      <pivotArea type="data" outline="0" fieldPosition="0">
        <references count="2">
          <reference field="4294967294" count="1" selected="0">
            <x v="0"/>
          </reference>
          <reference field="0" count="1" selected="0">
            <x v="9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8AF4EF-19A5-405B-A1B5-73BEB57C7A3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6:J20" firstHeaderRow="1" firstDataRow="1" firstDataCol="1"/>
  <pivotFields count="9">
    <pivotField showAll="0"/>
    <pivotField axis="axisRow" numFmtId="17" showAll="0">
      <items count="40">
        <item x="28"/>
        <item x="22"/>
        <item x="29"/>
        <item x="0"/>
        <item x="11"/>
        <item x="24"/>
        <item x="30"/>
        <item x="1"/>
        <item x="12"/>
        <item x="25"/>
        <item x="31"/>
        <item x="2"/>
        <item x="13"/>
        <item x="26"/>
        <item x="32"/>
        <item x="3"/>
        <item x="14"/>
        <item x="33"/>
        <item x="4"/>
        <item x="15"/>
        <item x="34"/>
        <item x="5"/>
        <item x="16"/>
        <item x="35"/>
        <item x="6"/>
        <item x="17"/>
        <item x="36"/>
        <item x="7"/>
        <item x="18"/>
        <item x="37"/>
        <item x="8"/>
        <item x="19"/>
        <item x="38"/>
        <item x="9"/>
        <item x="20"/>
        <item x="27"/>
        <item x="23"/>
        <item x="10"/>
        <item x="21"/>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6">
        <item sd="0" x="0"/>
        <item sd="0" x="1"/>
        <item sd="0" x="2"/>
        <item sd="0" x="3"/>
        <item sd="0" x="4"/>
        <item sd="0" x="5"/>
        <item sd="0" x="6"/>
        <item sd="0" x="7"/>
        <item sd="0" x="8"/>
        <item sd="0" x="9"/>
        <item sd="0" x="10"/>
        <item sd="0" x="11"/>
        <item sd="0" x="12"/>
        <item sd="0" x="13"/>
        <item sd="0" x="14"/>
        <item t="default"/>
      </items>
    </pivotField>
  </pivotFields>
  <rowFields count="4">
    <field x="8"/>
    <field x="7"/>
    <field x="6"/>
    <field x="1"/>
  </rowFields>
  <rowItems count="14">
    <i>
      <x v="1"/>
    </i>
    <i>
      <x v="2"/>
    </i>
    <i>
      <x v="3"/>
    </i>
    <i>
      <x v="4"/>
    </i>
    <i>
      <x v="5"/>
    </i>
    <i>
      <x v="6"/>
    </i>
    <i>
      <x v="7"/>
    </i>
    <i>
      <x v="8"/>
    </i>
    <i>
      <x v="9"/>
    </i>
    <i>
      <x v="10"/>
    </i>
    <i>
      <x v="11"/>
    </i>
    <i>
      <x v="12"/>
    </i>
    <i>
      <x v="13"/>
    </i>
    <i t="grand">
      <x/>
    </i>
  </rowItems>
  <colItems count="1">
    <i/>
  </colItems>
  <dataFields count="1">
    <dataField name="Average of YoY_Growth_Pct" fld="5" subtotal="average" baseField="8"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Sentiment" xr10:uid="{18773CB6-0740-4F5A-A9A3-5A8EB9A21164}" sourceName="MarketSentimen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Sentiment" xr10:uid="{89980CCD-4623-4C54-B0C4-923BB4744E4B}" cache="Slicer_MarketSentiment" caption="MarketSenti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46D8B4-91C4-46BD-9C6B-5C77C0E0FA31}" name="Table1" displayName="Table1" ref="A1:F25" totalsRowShown="0">
  <autoFilter ref="A1:F25" xr:uid="{3B46D8B4-91C4-46BD-9C6B-5C77C0E0FA31}"/>
  <tableColumns count="6">
    <tableColumn id="1" xr3:uid="{A6BAC251-4E41-49ED-850F-8A07BE18E6F8}" name="TradeDate" dataDxfId="0"/>
    <tableColumn id="2" xr3:uid="{C3F11168-70AF-4297-8AAC-964267E5277F}" name="ClosingPrice"/>
    <tableColumn id="3" xr3:uid="{43DFDD6C-642D-4574-94D8-DE98CF75BC36}" name="DailyReturnPct"/>
    <tableColumn id="4" xr3:uid="{EFBFD360-325E-42F7-A6D6-9C574AB36AA2}" name="30Day_Volatility_StdDev"/>
    <tableColumn id="5" xr3:uid="{51544E4E-C822-4C6A-A956-73BE97FD1305}" name="MarketSentiment"/>
    <tableColumn id="6" xr3:uid="{228BA735-E807-4B0D-ABAE-3EDE5E03D7F0}" name="7Day_SMA">
      <calculatedColumnFormula>AVERAGE(B2:B8)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52AA-26AD-45FE-95F6-3018665AD88F}">
  <dimension ref="A1:F25"/>
  <sheetViews>
    <sheetView workbookViewId="0">
      <selection activeCell="J15" sqref="J15"/>
    </sheetView>
  </sheetViews>
  <sheetFormatPr defaultRowHeight="14.4" x14ac:dyDescent="0.3"/>
  <cols>
    <col min="1" max="1" width="11.5546875" customWidth="1"/>
    <col min="2" max="2" width="13" customWidth="1"/>
    <col min="3" max="3" width="15.33203125" customWidth="1"/>
    <col min="4" max="4" width="23.5546875" customWidth="1"/>
    <col min="5" max="5" width="24.77734375" bestFit="1" customWidth="1"/>
    <col min="6" max="6" width="12.109375" customWidth="1"/>
  </cols>
  <sheetData>
    <row r="1" spans="1:6" x14ac:dyDescent="0.3">
      <c r="A1" t="s">
        <v>0</v>
      </c>
      <c r="B1" t="s">
        <v>1</v>
      </c>
      <c r="C1" t="s">
        <v>2</v>
      </c>
      <c r="D1" t="s">
        <v>3</v>
      </c>
      <c r="E1" t="s">
        <v>4</v>
      </c>
      <c r="F1" t="s">
        <v>15</v>
      </c>
    </row>
    <row r="2" spans="1:6" x14ac:dyDescent="0.3">
      <c r="A2" s="1">
        <v>46282</v>
      </c>
      <c r="B2">
        <v>2930.10009765625</v>
      </c>
      <c r="C2">
        <v>-0.91</v>
      </c>
      <c r="D2">
        <v>2.57</v>
      </c>
      <c r="E2" t="s">
        <v>5</v>
      </c>
      <c r="F2">
        <f>AVERAGE(B2:B8)</f>
        <v>3020.2142857142858</v>
      </c>
    </row>
    <row r="3" spans="1:6" x14ac:dyDescent="0.3">
      <c r="A3" s="1">
        <v>46281</v>
      </c>
      <c r="B3">
        <v>2957</v>
      </c>
      <c r="C3">
        <v>-3.99</v>
      </c>
      <c r="D3">
        <v>2.62</v>
      </c>
      <c r="E3" t="s">
        <v>6</v>
      </c>
      <c r="F3">
        <f t="shared" ref="F3:F25" si="0">AVERAGE(B3:B9)</f>
        <v>3020.6285574776784</v>
      </c>
    </row>
    <row r="4" spans="1:6" x14ac:dyDescent="0.3">
      <c r="A4" s="1">
        <v>46280</v>
      </c>
      <c r="B4">
        <v>3080</v>
      </c>
      <c r="C4">
        <v>0.65</v>
      </c>
      <c r="D4">
        <v>2.5299999999999998</v>
      </c>
      <c r="E4" t="s">
        <v>5</v>
      </c>
      <c r="F4">
        <f t="shared" si="0"/>
        <v>3018.1999860491073</v>
      </c>
    </row>
    <row r="5" spans="1:6" x14ac:dyDescent="0.3">
      <c r="A5" s="1">
        <v>46279</v>
      </c>
      <c r="B5">
        <v>3060</v>
      </c>
      <c r="C5">
        <v>0.66</v>
      </c>
      <c r="D5">
        <v>2.6</v>
      </c>
      <c r="E5" t="s">
        <v>5</v>
      </c>
      <c r="F5">
        <f t="shared" si="0"/>
        <v>2992.4857003348216</v>
      </c>
    </row>
    <row r="6" spans="1:6" x14ac:dyDescent="0.3">
      <c r="A6" s="1">
        <v>46276</v>
      </c>
      <c r="B6">
        <v>3040</v>
      </c>
      <c r="C6">
        <v>-2.39</v>
      </c>
      <c r="D6">
        <v>2.66</v>
      </c>
      <c r="E6" t="s">
        <v>5</v>
      </c>
      <c r="F6">
        <f t="shared" si="0"/>
        <v>2970.3428431919642</v>
      </c>
    </row>
    <row r="7" spans="1:6" x14ac:dyDescent="0.3">
      <c r="A7" s="1">
        <v>46275</v>
      </c>
      <c r="B7">
        <v>3114.5</v>
      </c>
      <c r="C7">
        <v>5.22</v>
      </c>
      <c r="D7">
        <v>2.67</v>
      </c>
      <c r="E7" t="s">
        <v>7</v>
      </c>
      <c r="F7">
        <f t="shared" si="0"/>
        <v>2944.5999930245539</v>
      </c>
    </row>
    <row r="8" spans="1:6" x14ac:dyDescent="0.3">
      <c r="A8" s="1">
        <v>46274</v>
      </c>
      <c r="B8">
        <v>2959.89990234375</v>
      </c>
      <c r="C8">
        <v>0.92</v>
      </c>
      <c r="D8">
        <v>2.4300000000000002</v>
      </c>
      <c r="E8" t="s">
        <v>5</v>
      </c>
      <c r="F8">
        <f t="shared" si="0"/>
        <v>2915.3857073102686</v>
      </c>
    </row>
    <row r="9" spans="1:6" x14ac:dyDescent="0.3">
      <c r="A9" s="1">
        <v>46273</v>
      </c>
      <c r="B9">
        <v>2933</v>
      </c>
      <c r="C9">
        <v>-0.24</v>
      </c>
      <c r="D9">
        <v>2.4900000000000002</v>
      </c>
      <c r="E9" t="s">
        <v>5</v>
      </c>
      <c r="F9">
        <f t="shared" si="0"/>
        <v>2944.6857212611617</v>
      </c>
    </row>
    <row r="10" spans="1:6" x14ac:dyDescent="0.3">
      <c r="A10" s="1">
        <v>46272</v>
      </c>
      <c r="B10">
        <v>2940</v>
      </c>
      <c r="C10">
        <v>1.38</v>
      </c>
      <c r="D10">
        <v>2.58</v>
      </c>
      <c r="E10" t="s">
        <v>5</v>
      </c>
      <c r="F10">
        <f t="shared" si="0"/>
        <v>2978.5428641183048</v>
      </c>
    </row>
    <row r="11" spans="1:6" x14ac:dyDescent="0.3">
      <c r="A11" s="1">
        <v>46269</v>
      </c>
      <c r="B11">
        <v>2900</v>
      </c>
      <c r="C11">
        <v>-0.17</v>
      </c>
      <c r="D11">
        <v>2.64</v>
      </c>
      <c r="E11" t="s">
        <v>5</v>
      </c>
      <c r="F11">
        <f t="shared" si="0"/>
        <v>3004.9714355468759</v>
      </c>
    </row>
    <row r="12" spans="1:6" x14ac:dyDescent="0.3">
      <c r="A12" s="1">
        <v>46268</v>
      </c>
      <c r="B12">
        <v>2905</v>
      </c>
      <c r="C12">
        <v>1.58</v>
      </c>
      <c r="D12">
        <v>2.74</v>
      </c>
      <c r="E12" t="s">
        <v>5</v>
      </c>
      <c r="F12">
        <f t="shared" si="0"/>
        <v>3036.8000139508945</v>
      </c>
    </row>
    <row r="13" spans="1:6" x14ac:dyDescent="0.3">
      <c r="A13" s="1">
        <v>46267</v>
      </c>
      <c r="B13">
        <v>2859.80004882813</v>
      </c>
      <c r="C13">
        <v>-1.73</v>
      </c>
      <c r="D13">
        <v>2.8</v>
      </c>
      <c r="E13" t="s">
        <v>5</v>
      </c>
      <c r="F13">
        <f t="shared" si="0"/>
        <v>3050.0857282366087</v>
      </c>
    </row>
    <row r="14" spans="1:6" x14ac:dyDescent="0.3">
      <c r="A14" s="1">
        <v>46266</v>
      </c>
      <c r="B14">
        <v>2910</v>
      </c>
      <c r="C14">
        <v>-8.06</v>
      </c>
      <c r="D14">
        <v>2.91</v>
      </c>
      <c r="E14" t="s">
        <v>6</v>
      </c>
      <c r="F14">
        <f t="shared" si="0"/>
        <v>3071.5428641183048</v>
      </c>
    </row>
    <row r="15" spans="1:6" x14ac:dyDescent="0.3">
      <c r="A15" s="1">
        <v>46265</v>
      </c>
      <c r="B15">
        <v>3165</v>
      </c>
      <c r="C15">
        <v>-0.16</v>
      </c>
      <c r="D15">
        <v>1.49</v>
      </c>
      <c r="E15" t="s">
        <v>5</v>
      </c>
      <c r="F15">
        <f t="shared" si="0"/>
        <v>3083.6857212611617</v>
      </c>
    </row>
    <row r="16" spans="1:6" x14ac:dyDescent="0.3">
      <c r="A16" s="1">
        <v>46262</v>
      </c>
      <c r="B16">
        <v>3170</v>
      </c>
      <c r="C16">
        <v>1.44</v>
      </c>
      <c r="D16">
        <v>1.56</v>
      </c>
      <c r="E16" t="s">
        <v>5</v>
      </c>
      <c r="F16">
        <f t="shared" si="0"/>
        <v>3060.1142926897332</v>
      </c>
    </row>
    <row r="17" spans="1:6" x14ac:dyDescent="0.3">
      <c r="A17" s="1">
        <v>46261</v>
      </c>
      <c r="B17">
        <v>3125</v>
      </c>
      <c r="C17">
        <v>7.0000000000000007E-2</v>
      </c>
      <c r="D17">
        <v>1.62</v>
      </c>
      <c r="E17" t="s">
        <v>5</v>
      </c>
      <c r="F17">
        <f t="shared" si="0"/>
        <v>3037.6428571428587</v>
      </c>
    </row>
    <row r="18" spans="1:6" x14ac:dyDescent="0.3">
      <c r="A18" s="1">
        <v>46260</v>
      </c>
      <c r="B18">
        <v>3122.80004882813</v>
      </c>
      <c r="C18">
        <v>4.16</v>
      </c>
      <c r="D18">
        <v>1.75</v>
      </c>
      <c r="E18" t="s">
        <v>7</v>
      </c>
      <c r="F18">
        <f t="shared" si="0"/>
        <v>3021.785714285716</v>
      </c>
    </row>
    <row r="19" spans="1:6" x14ac:dyDescent="0.3">
      <c r="A19" s="1">
        <v>46259</v>
      </c>
      <c r="B19">
        <v>2998</v>
      </c>
      <c r="C19">
        <v>-0.4</v>
      </c>
      <c r="D19">
        <v>0.54</v>
      </c>
      <c r="E19" t="s">
        <v>5</v>
      </c>
      <c r="F19">
        <f t="shared" si="0"/>
        <v>3011.2428501674117</v>
      </c>
    </row>
    <row r="20" spans="1:6" x14ac:dyDescent="0.3">
      <c r="A20" s="1">
        <v>46258</v>
      </c>
      <c r="B20">
        <v>3010</v>
      </c>
      <c r="C20">
        <v>0.5</v>
      </c>
      <c r="D20">
        <v>0.6</v>
      </c>
      <c r="E20" t="s">
        <v>5</v>
      </c>
      <c r="F20">
        <f t="shared" si="0"/>
        <v>3013.4499918619804</v>
      </c>
    </row>
    <row r="21" spans="1:6" x14ac:dyDescent="0.3">
      <c r="A21" s="1">
        <v>46255</v>
      </c>
      <c r="B21">
        <v>2995</v>
      </c>
      <c r="C21">
        <v>-0.17</v>
      </c>
      <c r="D21">
        <v>0.5</v>
      </c>
      <c r="E21" t="s">
        <v>5</v>
      </c>
      <c r="F21">
        <f t="shared" si="0"/>
        <v>3014.139990234376</v>
      </c>
    </row>
    <row r="22" spans="1:6" x14ac:dyDescent="0.3">
      <c r="A22" s="1">
        <v>46254</v>
      </c>
      <c r="B22">
        <v>3000</v>
      </c>
      <c r="C22">
        <v>-0.42</v>
      </c>
      <c r="D22">
        <v>0.56000000000000005</v>
      </c>
      <c r="E22" t="s">
        <v>5</v>
      </c>
      <c r="F22">
        <f t="shared" si="0"/>
        <v>3018.9249877929701</v>
      </c>
    </row>
    <row r="23" spans="1:6" x14ac:dyDescent="0.3">
      <c r="A23" s="1">
        <v>46253</v>
      </c>
      <c r="B23">
        <v>3012.69995117188</v>
      </c>
      <c r="C23">
        <v>-0.04</v>
      </c>
      <c r="D23">
        <v>0.78</v>
      </c>
      <c r="E23" t="s">
        <v>5</v>
      </c>
      <c r="F23">
        <f t="shared" si="0"/>
        <v>3025.2333170572933</v>
      </c>
    </row>
    <row r="24" spans="1:6" x14ac:dyDescent="0.3">
      <c r="A24" s="1">
        <v>46252</v>
      </c>
      <c r="B24">
        <v>3014</v>
      </c>
      <c r="C24">
        <v>-1.1499999999999999</v>
      </c>
      <c r="D24" t="s">
        <v>8</v>
      </c>
      <c r="E24" t="s">
        <v>5</v>
      </c>
      <c r="F24">
        <f t="shared" si="0"/>
        <v>3031.5</v>
      </c>
    </row>
    <row r="25" spans="1:6" x14ac:dyDescent="0.3">
      <c r="A25" s="1">
        <v>46251</v>
      </c>
      <c r="B25">
        <v>3049</v>
      </c>
      <c r="C25" t="s">
        <v>8</v>
      </c>
      <c r="D25" t="s">
        <v>8</v>
      </c>
      <c r="E25" t="s">
        <v>5</v>
      </c>
      <c r="F25">
        <f t="shared" si="0"/>
        <v>3049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AE1F-4269-42EA-B1E8-52467AC59F66}">
  <dimension ref="A1:DI1044"/>
  <sheetViews>
    <sheetView tabSelected="1" topLeftCell="CX1" workbookViewId="0">
      <selection activeCell="P23" sqref="P23"/>
    </sheetView>
  </sheetViews>
  <sheetFormatPr defaultRowHeight="14.4" x14ac:dyDescent="0.3"/>
  <cols>
    <col min="1" max="1" width="9.109375" bestFit="1" customWidth="1"/>
    <col min="2" max="2" width="13.44140625" bestFit="1" customWidth="1"/>
    <col min="3" max="3" width="16.44140625" bestFit="1" customWidth="1"/>
    <col min="4" max="4" width="17.33203125" bestFit="1" customWidth="1"/>
    <col min="5" max="5" width="15.5546875" bestFit="1" customWidth="1"/>
    <col min="6" max="6" width="14.88671875" bestFit="1" customWidth="1"/>
    <col min="9" max="9" width="12.5546875" bestFit="1" customWidth="1"/>
    <col min="10" max="10" width="24.88671875" bestFit="1" customWidth="1"/>
    <col min="13" max="13" width="22.77734375" bestFit="1" customWidth="1"/>
    <col min="14" max="14" width="15.5546875" bestFit="1" customWidth="1"/>
    <col min="15" max="20" width="7" bestFit="1" customWidth="1"/>
    <col min="21" max="21" width="8" bestFit="1" customWidth="1"/>
    <col min="22" max="24" width="7" bestFit="1" customWidth="1"/>
    <col min="25" max="25" width="8" bestFit="1" customWidth="1"/>
    <col min="26" max="112" width="7" bestFit="1" customWidth="1"/>
    <col min="113" max="113" width="10.77734375" bestFit="1" customWidth="1"/>
  </cols>
  <sheetData>
    <row r="1" spans="1:113" x14ac:dyDescent="0.3">
      <c r="A1" t="s">
        <v>9</v>
      </c>
      <c r="B1" t="s">
        <v>10</v>
      </c>
      <c r="C1" t="s">
        <v>11</v>
      </c>
      <c r="D1" t="s">
        <v>12</v>
      </c>
      <c r="E1" t="s">
        <v>13</v>
      </c>
      <c r="F1" t="s">
        <v>14</v>
      </c>
    </row>
    <row r="2" spans="1:113" x14ac:dyDescent="0.3">
      <c r="A2">
        <v>500002</v>
      </c>
      <c r="B2" s="2">
        <v>41244</v>
      </c>
      <c r="C2">
        <v>328</v>
      </c>
      <c r="D2">
        <v>0</v>
      </c>
      <c r="E2">
        <v>328</v>
      </c>
      <c r="F2" t="s">
        <v>8</v>
      </c>
    </row>
    <row r="3" spans="1:113" x14ac:dyDescent="0.3">
      <c r="A3">
        <v>500002</v>
      </c>
      <c r="B3" s="2">
        <v>41609</v>
      </c>
      <c r="C3">
        <v>620</v>
      </c>
      <c r="D3">
        <v>328</v>
      </c>
      <c r="E3">
        <v>292</v>
      </c>
      <c r="F3">
        <v>89.02</v>
      </c>
    </row>
    <row r="4" spans="1:113" x14ac:dyDescent="0.3">
      <c r="A4">
        <v>500002</v>
      </c>
      <c r="B4" s="2">
        <v>41974</v>
      </c>
      <c r="C4">
        <v>371</v>
      </c>
      <c r="D4">
        <v>620</v>
      </c>
      <c r="E4">
        <v>-249</v>
      </c>
      <c r="F4">
        <v>-40.159999999999997</v>
      </c>
    </row>
    <row r="5" spans="1:113" x14ac:dyDescent="0.3">
      <c r="A5">
        <v>500002</v>
      </c>
      <c r="B5" s="2">
        <v>42339</v>
      </c>
      <c r="C5">
        <v>600</v>
      </c>
      <c r="D5">
        <v>371</v>
      </c>
      <c r="E5">
        <v>229</v>
      </c>
      <c r="F5">
        <v>61.73</v>
      </c>
    </row>
    <row r="6" spans="1:113" x14ac:dyDescent="0.3">
      <c r="A6">
        <v>500002</v>
      </c>
      <c r="B6" s="2">
        <v>42705</v>
      </c>
      <c r="C6">
        <v>600</v>
      </c>
      <c r="D6">
        <v>600</v>
      </c>
      <c r="E6">
        <v>0</v>
      </c>
      <c r="F6">
        <v>0</v>
      </c>
      <c r="I6" s="6" t="s">
        <v>16</v>
      </c>
      <c r="J6" t="s">
        <v>31</v>
      </c>
      <c r="M6" s="6" t="s">
        <v>33</v>
      </c>
      <c r="N6" s="6" t="s">
        <v>32</v>
      </c>
    </row>
    <row r="7" spans="1:113" x14ac:dyDescent="0.3">
      <c r="A7">
        <v>500002</v>
      </c>
      <c r="B7" s="2">
        <v>43070</v>
      </c>
      <c r="C7">
        <v>608</v>
      </c>
      <c r="D7">
        <v>600</v>
      </c>
      <c r="E7">
        <v>8</v>
      </c>
      <c r="F7">
        <v>1.33</v>
      </c>
      <c r="I7" s="7" t="s">
        <v>18</v>
      </c>
      <c r="J7" s="8">
        <v>-100</v>
      </c>
      <c r="M7" s="6" t="s">
        <v>16</v>
      </c>
      <c r="N7">
        <v>500002</v>
      </c>
      <c r="O7">
        <v>500010</v>
      </c>
      <c r="P7">
        <v>500034</v>
      </c>
      <c r="Q7">
        <v>500049</v>
      </c>
      <c r="R7">
        <v>500087</v>
      </c>
      <c r="S7">
        <v>500093</v>
      </c>
      <c r="T7">
        <v>500096</v>
      </c>
      <c r="U7">
        <v>500112</v>
      </c>
      <c r="V7">
        <v>500114</v>
      </c>
      <c r="W7">
        <v>500116</v>
      </c>
      <c r="X7">
        <v>500124</v>
      </c>
      <c r="Y7">
        <v>500180</v>
      </c>
      <c r="Z7">
        <v>500182</v>
      </c>
      <c r="AA7">
        <v>500188</v>
      </c>
      <c r="AB7">
        <v>500209</v>
      </c>
      <c r="AC7">
        <v>500228</v>
      </c>
      <c r="AD7">
        <v>500247</v>
      </c>
      <c r="AE7">
        <v>500251</v>
      </c>
      <c r="AF7">
        <v>500295</v>
      </c>
      <c r="AG7">
        <v>500300</v>
      </c>
      <c r="AH7">
        <v>500312</v>
      </c>
      <c r="AI7">
        <v>500325</v>
      </c>
      <c r="AJ7">
        <v>500331</v>
      </c>
      <c r="AK7">
        <v>500387</v>
      </c>
      <c r="AL7">
        <v>500400</v>
      </c>
      <c r="AM7">
        <v>500420</v>
      </c>
      <c r="AN7">
        <v>500425</v>
      </c>
      <c r="AO7">
        <v>500440</v>
      </c>
      <c r="AP7">
        <v>500470</v>
      </c>
      <c r="AQ7">
        <v>500490</v>
      </c>
      <c r="AR7">
        <v>500510</v>
      </c>
      <c r="AS7">
        <v>500520</v>
      </c>
      <c r="AT7">
        <v>500530</v>
      </c>
      <c r="AU7">
        <v>500547</v>
      </c>
      <c r="AV7">
        <v>500550</v>
      </c>
      <c r="AW7">
        <v>500570</v>
      </c>
      <c r="AX7">
        <v>500696</v>
      </c>
      <c r="AY7">
        <v>500790</v>
      </c>
      <c r="AZ7">
        <v>500800</v>
      </c>
      <c r="BA7">
        <v>500820</v>
      </c>
      <c r="BB7">
        <v>500825</v>
      </c>
      <c r="BC7">
        <v>500850</v>
      </c>
      <c r="BD7">
        <v>500875</v>
      </c>
      <c r="BE7">
        <v>503806</v>
      </c>
      <c r="BF7">
        <v>505200</v>
      </c>
      <c r="BG7">
        <v>507685</v>
      </c>
      <c r="BH7">
        <v>508869</v>
      </c>
      <c r="BI7">
        <v>509480</v>
      </c>
      <c r="BJ7">
        <v>511243</v>
      </c>
      <c r="BK7">
        <v>512070</v>
      </c>
      <c r="BL7">
        <v>512599</v>
      </c>
      <c r="BM7">
        <v>517334</v>
      </c>
      <c r="BN7">
        <v>517354</v>
      </c>
      <c r="BO7">
        <v>524715</v>
      </c>
      <c r="BP7">
        <v>530965</v>
      </c>
      <c r="BQ7">
        <v>531642</v>
      </c>
      <c r="BR7">
        <v>532134</v>
      </c>
      <c r="BS7">
        <v>532155</v>
      </c>
      <c r="BT7">
        <v>532174</v>
      </c>
      <c r="BU7">
        <v>532187</v>
      </c>
      <c r="BV7">
        <v>532215</v>
      </c>
      <c r="BW7">
        <v>532281</v>
      </c>
      <c r="BX7">
        <v>532286</v>
      </c>
      <c r="BY7">
        <v>532343</v>
      </c>
      <c r="BZ7">
        <v>532424</v>
      </c>
      <c r="CA7">
        <v>532432</v>
      </c>
      <c r="CB7">
        <v>532454</v>
      </c>
      <c r="CC7">
        <v>532461</v>
      </c>
      <c r="CD7">
        <v>532483</v>
      </c>
      <c r="CE7">
        <v>532488</v>
      </c>
      <c r="CF7">
        <v>532500</v>
      </c>
      <c r="CG7">
        <v>532538</v>
      </c>
      <c r="CH7">
        <v>532540</v>
      </c>
      <c r="CI7">
        <v>532555</v>
      </c>
      <c r="CJ7">
        <v>532755</v>
      </c>
      <c r="CK7">
        <v>532868</v>
      </c>
      <c r="CL7">
        <v>532898</v>
      </c>
      <c r="CM7">
        <v>532921</v>
      </c>
      <c r="CN7">
        <v>532977</v>
      </c>
      <c r="CO7">
        <v>532978</v>
      </c>
      <c r="CP7">
        <v>533096</v>
      </c>
      <c r="CQ7">
        <v>533278</v>
      </c>
      <c r="CR7">
        <v>539254</v>
      </c>
      <c r="CS7">
        <v>539448</v>
      </c>
      <c r="CT7">
        <v>540005</v>
      </c>
      <c r="CU7">
        <v>540133</v>
      </c>
      <c r="CV7">
        <v>540180</v>
      </c>
      <c r="CW7">
        <v>540376</v>
      </c>
      <c r="CX7">
        <v>540716</v>
      </c>
      <c r="CY7">
        <v>540719</v>
      </c>
      <c r="CZ7">
        <v>540777</v>
      </c>
      <c r="DA7">
        <v>541154</v>
      </c>
      <c r="DB7">
        <v>541450</v>
      </c>
      <c r="DC7">
        <v>542066</v>
      </c>
      <c r="DD7">
        <v>543066</v>
      </c>
      <c r="DE7">
        <v>543220</v>
      </c>
      <c r="DF7">
        <v>543320</v>
      </c>
      <c r="DG7">
        <v>543458</v>
      </c>
      <c r="DH7">
        <v>543526</v>
      </c>
      <c r="DI7" t="s">
        <v>17</v>
      </c>
    </row>
    <row r="8" spans="1:113" x14ac:dyDescent="0.3">
      <c r="A8">
        <v>500002</v>
      </c>
      <c r="B8" s="2">
        <v>43435</v>
      </c>
      <c r="C8">
        <v>7</v>
      </c>
      <c r="D8">
        <v>608</v>
      </c>
      <c r="E8">
        <v>-601</v>
      </c>
      <c r="F8">
        <v>-98.85</v>
      </c>
      <c r="I8" s="7" t="s">
        <v>19</v>
      </c>
      <c r="J8" s="8">
        <v>54.67</v>
      </c>
      <c r="M8" s="7" t="s">
        <v>18</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v>-184</v>
      </c>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v>-184</v>
      </c>
    </row>
    <row r="9" spans="1:113" x14ac:dyDescent="0.3">
      <c r="A9">
        <v>500002</v>
      </c>
      <c r="B9" s="2">
        <v>43800</v>
      </c>
      <c r="C9">
        <v>14</v>
      </c>
      <c r="D9">
        <v>7</v>
      </c>
      <c r="E9">
        <v>7</v>
      </c>
      <c r="F9">
        <v>100</v>
      </c>
      <c r="I9" s="7" t="s">
        <v>20</v>
      </c>
      <c r="J9" s="8">
        <v>54.675499999999978</v>
      </c>
      <c r="M9" s="7" t="s">
        <v>19</v>
      </c>
      <c r="N9" s="8">
        <v>328</v>
      </c>
      <c r="O9" s="8"/>
      <c r="P9" s="8"/>
      <c r="Q9" s="8"/>
      <c r="R9" s="8"/>
      <c r="S9" s="8"/>
      <c r="T9" s="8"/>
      <c r="U9" s="8"/>
      <c r="V9" s="8"/>
      <c r="W9" s="8"/>
      <c r="X9" s="8"/>
      <c r="Y9" s="8"/>
      <c r="Z9" s="8"/>
      <c r="AA9" s="8"/>
      <c r="AB9" s="8"/>
      <c r="AC9" s="8"/>
      <c r="AD9" s="8"/>
      <c r="AE9" s="8"/>
      <c r="AF9" s="8"/>
      <c r="AG9" s="8"/>
      <c r="AH9" s="8">
        <v>9269</v>
      </c>
      <c r="AI9" s="8"/>
      <c r="AJ9" s="8"/>
      <c r="AK9" s="8"/>
      <c r="AL9" s="8"/>
      <c r="AM9" s="8">
        <v>7</v>
      </c>
      <c r="AN9" s="8">
        <v>-9</v>
      </c>
      <c r="AO9" s="8"/>
      <c r="AP9" s="8"/>
      <c r="AQ9" s="8"/>
      <c r="AR9" s="8"/>
      <c r="AS9" s="8"/>
      <c r="AT9" s="8">
        <v>-77</v>
      </c>
      <c r="AU9" s="8"/>
      <c r="AV9" s="8">
        <v>0</v>
      </c>
      <c r="AW9" s="8"/>
      <c r="AX9" s="8"/>
      <c r="AY9" s="8">
        <v>79</v>
      </c>
      <c r="AZ9" s="8"/>
      <c r="BA9" s="8"/>
      <c r="BB9" s="8"/>
      <c r="BC9" s="8"/>
      <c r="BD9" s="8"/>
      <c r="BE9" s="8"/>
      <c r="BF9" s="8">
        <v>-20</v>
      </c>
      <c r="BG9" s="8"/>
      <c r="BH9" s="8">
        <v>-140</v>
      </c>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v>13973</v>
      </c>
      <c r="CN9" s="8"/>
      <c r="CO9" s="8"/>
      <c r="CP9" s="8"/>
      <c r="CQ9" s="8"/>
      <c r="CR9" s="8"/>
      <c r="CS9" s="8"/>
      <c r="CT9" s="8"/>
      <c r="CU9" s="8"/>
      <c r="CV9" s="8"/>
      <c r="CW9" s="8"/>
      <c r="CX9" s="8"/>
      <c r="CY9" s="8"/>
      <c r="CZ9" s="8"/>
      <c r="DA9" s="8"/>
      <c r="DB9" s="8"/>
      <c r="DC9" s="8"/>
      <c r="DD9" s="8"/>
      <c r="DE9" s="8"/>
      <c r="DF9" s="8"/>
      <c r="DG9" s="8"/>
      <c r="DH9" s="8"/>
      <c r="DI9" s="8">
        <v>23410</v>
      </c>
    </row>
    <row r="10" spans="1:113" x14ac:dyDescent="0.3">
      <c r="A10">
        <v>500002</v>
      </c>
      <c r="B10" s="2">
        <v>44166</v>
      </c>
      <c r="C10">
        <v>58</v>
      </c>
      <c r="D10">
        <v>14</v>
      </c>
      <c r="E10">
        <v>44</v>
      </c>
      <c r="F10">
        <v>314.29000000000002</v>
      </c>
      <c r="I10" s="7" t="s">
        <v>21</v>
      </c>
      <c r="J10" s="8">
        <v>205.54900000000004</v>
      </c>
      <c r="M10" s="7" t="s">
        <v>20</v>
      </c>
      <c r="N10" s="8">
        <v>292</v>
      </c>
      <c r="O10" s="8">
        <v>21184</v>
      </c>
      <c r="P10" s="8"/>
      <c r="Q10" s="8">
        <v>0</v>
      </c>
      <c r="R10" s="8">
        <v>938</v>
      </c>
      <c r="S10" s="8">
        <v>985</v>
      </c>
      <c r="T10" s="8">
        <v>83</v>
      </c>
      <c r="U10" s="8">
        <v>258445</v>
      </c>
      <c r="V10" s="8">
        <v>-6</v>
      </c>
      <c r="W10" s="8">
        <v>28977</v>
      </c>
      <c r="X10" s="8">
        <v>448</v>
      </c>
      <c r="Y10" s="8">
        <v>62714</v>
      </c>
      <c r="Z10" s="8"/>
      <c r="AA10" s="8">
        <v>0</v>
      </c>
      <c r="AB10" s="8">
        <v>0</v>
      </c>
      <c r="AC10" s="8">
        <v>1437</v>
      </c>
      <c r="AD10" s="8">
        <v>19906</v>
      </c>
      <c r="AE10" s="8">
        <v>35</v>
      </c>
      <c r="AF10" s="8">
        <v>1098</v>
      </c>
      <c r="AG10" s="8">
        <v>2512</v>
      </c>
      <c r="AH10" s="8">
        <v>4713</v>
      </c>
      <c r="AI10" s="8">
        <v>14772</v>
      </c>
      <c r="AJ10" s="8">
        <v>-210</v>
      </c>
      <c r="AK10" s="8">
        <v>-876</v>
      </c>
      <c r="AL10" s="8">
        <v>4022</v>
      </c>
      <c r="AM10" s="8">
        <v>114</v>
      </c>
      <c r="AN10" s="8">
        <v>-12</v>
      </c>
      <c r="AO10" s="8">
        <v>15935</v>
      </c>
      <c r="AP10" s="8">
        <v>8610</v>
      </c>
      <c r="AQ10" s="8">
        <v>0</v>
      </c>
      <c r="AR10" s="8">
        <v>11576</v>
      </c>
      <c r="AS10" s="8">
        <v>5590</v>
      </c>
      <c r="AT10" s="8">
        <v>-47</v>
      </c>
      <c r="AU10" s="8">
        <v>3004</v>
      </c>
      <c r="AV10" s="8">
        <v>0</v>
      </c>
      <c r="AW10" s="8">
        <v>6567</v>
      </c>
      <c r="AX10" s="8">
        <v>25</v>
      </c>
      <c r="AY10" s="8">
        <v>139</v>
      </c>
      <c r="AZ10" s="8">
        <v>473</v>
      </c>
      <c r="BA10" s="8">
        <v>-90</v>
      </c>
      <c r="BB10" s="8">
        <v>-224</v>
      </c>
      <c r="BC10" s="8">
        <v>15</v>
      </c>
      <c r="BD10" s="8">
        <v>-16</v>
      </c>
      <c r="BE10" s="8">
        <v>476</v>
      </c>
      <c r="BF10" s="8">
        <v>61</v>
      </c>
      <c r="BG10" s="8">
        <v>485</v>
      </c>
      <c r="BH10" s="8">
        <v>396</v>
      </c>
      <c r="BI10" s="8">
        <v>132</v>
      </c>
      <c r="BJ10" s="8">
        <v>3825</v>
      </c>
      <c r="BK10" s="8">
        <v>814</v>
      </c>
      <c r="BL10" s="8">
        <v>-147</v>
      </c>
      <c r="BM10" s="8">
        <v>-13</v>
      </c>
      <c r="BN10" s="8">
        <v>-45</v>
      </c>
      <c r="BO10" s="8">
        <v>-61</v>
      </c>
      <c r="BP10" s="8">
        <v>9656</v>
      </c>
      <c r="BQ10" s="8">
        <v>87</v>
      </c>
      <c r="BR10" s="8">
        <v>92978</v>
      </c>
      <c r="BS10" s="8">
        <v>4966</v>
      </c>
      <c r="BT10" s="8">
        <v>44412</v>
      </c>
      <c r="BU10" s="8">
        <v>12532</v>
      </c>
      <c r="BV10" s="8">
        <v>42195</v>
      </c>
      <c r="BW10" s="8">
        <v>-1135</v>
      </c>
      <c r="BX10" s="8">
        <v>7527</v>
      </c>
      <c r="BY10" s="8">
        <v>-236</v>
      </c>
      <c r="BZ10" s="8">
        <v>579</v>
      </c>
      <c r="CA10" s="8">
        <v>78</v>
      </c>
      <c r="CB10" s="8">
        <v>-2287</v>
      </c>
      <c r="CC10" s="8">
        <v>19036</v>
      </c>
      <c r="CD10" s="8">
        <v>33532</v>
      </c>
      <c r="CE10" s="8">
        <v>-22</v>
      </c>
      <c r="CF10" s="8">
        <v>148</v>
      </c>
      <c r="CG10" s="8">
        <v>1451</v>
      </c>
      <c r="CH10" s="8">
        <v>105</v>
      </c>
      <c r="CI10" s="8">
        <v>10615</v>
      </c>
      <c r="CJ10" s="8">
        <v>253</v>
      </c>
      <c r="CK10" s="8">
        <v>-265</v>
      </c>
      <c r="CL10" s="8">
        <v>14878</v>
      </c>
      <c r="CM10" s="8">
        <v>-5948</v>
      </c>
      <c r="CN10" s="8">
        <v>-34</v>
      </c>
      <c r="CO10" s="8">
        <v>2790</v>
      </c>
      <c r="CP10" s="8">
        <v>3195</v>
      </c>
      <c r="CQ10" s="8">
        <v>-222</v>
      </c>
      <c r="CR10" s="8"/>
      <c r="CS10" s="8">
        <v>784</v>
      </c>
      <c r="CT10" s="8">
        <v>-35</v>
      </c>
      <c r="CU10" s="8">
        <v>0</v>
      </c>
      <c r="CV10" s="8">
        <v>392</v>
      </c>
      <c r="CW10" s="8">
        <v>145</v>
      </c>
      <c r="CX10" s="8">
        <v>0</v>
      </c>
      <c r="CY10" s="8">
        <v>0</v>
      </c>
      <c r="CZ10" s="8"/>
      <c r="DA10" s="8">
        <v>0</v>
      </c>
      <c r="DB10" s="8"/>
      <c r="DC10" s="8"/>
      <c r="DD10" s="8"/>
      <c r="DE10" s="8"/>
      <c r="DF10" s="8"/>
      <c r="DG10" s="8"/>
      <c r="DH10" s="8"/>
      <c r="DI10" s="8">
        <v>771201</v>
      </c>
    </row>
    <row r="11" spans="1:113" x14ac:dyDescent="0.3">
      <c r="A11">
        <v>500002</v>
      </c>
      <c r="B11" s="2">
        <v>44531</v>
      </c>
      <c r="C11">
        <v>37</v>
      </c>
      <c r="D11">
        <v>58</v>
      </c>
      <c r="E11">
        <v>-21</v>
      </c>
      <c r="F11">
        <v>-36.21</v>
      </c>
      <c r="I11" s="7" t="s">
        <v>22</v>
      </c>
      <c r="J11" s="8">
        <v>14.158024691358021</v>
      </c>
      <c r="M11" s="7" t="s">
        <v>21</v>
      </c>
      <c r="N11" s="8">
        <v>-249</v>
      </c>
      <c r="O11" s="8">
        <v>26939</v>
      </c>
      <c r="P11" s="8"/>
      <c r="Q11" s="8">
        <v>-1</v>
      </c>
      <c r="R11" s="8">
        <v>281</v>
      </c>
      <c r="S11" s="8">
        <v>367</v>
      </c>
      <c r="T11" s="8">
        <v>-443</v>
      </c>
      <c r="U11" s="8">
        <v>231486</v>
      </c>
      <c r="V11" s="8">
        <v>807</v>
      </c>
      <c r="W11" s="8">
        <v>3020</v>
      </c>
      <c r="X11" s="8">
        <v>795</v>
      </c>
      <c r="Y11" s="8">
        <v>81089</v>
      </c>
      <c r="Z11" s="8"/>
      <c r="AA11" s="8">
        <v>0</v>
      </c>
      <c r="AB11" s="8">
        <v>0</v>
      </c>
      <c r="AC11" s="8">
        <v>13416</v>
      </c>
      <c r="AD11" s="8">
        <v>376</v>
      </c>
      <c r="AE11" s="8">
        <v>-4</v>
      </c>
      <c r="AF11" s="8">
        <v>75727</v>
      </c>
      <c r="AG11" s="8">
        <v>131</v>
      </c>
      <c r="AH11" s="8">
        <v>28427</v>
      </c>
      <c r="AI11" s="8">
        <v>31542</v>
      </c>
      <c r="AJ11" s="8">
        <v>-65</v>
      </c>
      <c r="AK11" s="8">
        <v>-88</v>
      </c>
      <c r="AL11" s="8">
        <v>2291</v>
      </c>
      <c r="AM11" s="8">
        <v>439</v>
      </c>
      <c r="AN11" s="8">
        <v>-14</v>
      </c>
      <c r="AO11" s="8">
        <v>7805</v>
      </c>
      <c r="AP11" s="8">
        <v>13102</v>
      </c>
      <c r="AQ11" s="8">
        <v>0</v>
      </c>
      <c r="AR11" s="8">
        <v>17702</v>
      </c>
      <c r="AS11" s="8">
        <v>6456</v>
      </c>
      <c r="AT11" s="8"/>
      <c r="AU11" s="8">
        <v>-5</v>
      </c>
      <c r="AV11" s="8">
        <v>0</v>
      </c>
      <c r="AW11" s="8">
        <v>6926</v>
      </c>
      <c r="AX11" s="8">
        <v>21</v>
      </c>
      <c r="AY11" s="8">
        <v>-1169</v>
      </c>
      <c r="AZ11" s="8">
        <v>49</v>
      </c>
      <c r="BA11" s="8">
        <v>-2</v>
      </c>
      <c r="BB11" s="8">
        <v>-230</v>
      </c>
      <c r="BC11" s="8">
        <v>434</v>
      </c>
      <c r="BD11" s="8">
        <v>140</v>
      </c>
      <c r="BE11" s="8">
        <v>471</v>
      </c>
      <c r="BF11" s="8">
        <v>-26</v>
      </c>
      <c r="BG11" s="8">
        <v>-1222</v>
      </c>
      <c r="BH11" s="8">
        <v>131</v>
      </c>
      <c r="BI11" s="8">
        <v>74</v>
      </c>
      <c r="BJ11" s="8">
        <v>2806</v>
      </c>
      <c r="BK11" s="8">
        <v>-854</v>
      </c>
      <c r="BL11" s="8">
        <v>2648</v>
      </c>
      <c r="BM11" s="8">
        <v>-169</v>
      </c>
      <c r="BN11" s="8">
        <v>72</v>
      </c>
      <c r="BO11" s="8">
        <v>2301</v>
      </c>
      <c r="BP11" s="8">
        <v>5245</v>
      </c>
      <c r="BQ11" s="8">
        <v>-192</v>
      </c>
      <c r="BR11" s="8">
        <v>107781</v>
      </c>
      <c r="BS11" s="8">
        <v>2065</v>
      </c>
      <c r="BT11" s="8">
        <v>55396</v>
      </c>
      <c r="BU11" s="8">
        <v>11688</v>
      </c>
      <c r="BV11" s="8">
        <v>37026</v>
      </c>
      <c r="BW11" s="8">
        <v>-26</v>
      </c>
      <c r="BX11" s="8">
        <v>11750</v>
      </c>
      <c r="BY11" s="8">
        <v>-340</v>
      </c>
      <c r="BZ11" s="8">
        <v>-83</v>
      </c>
      <c r="CA11" s="8">
        <v>65</v>
      </c>
      <c r="CB11" s="8">
        <v>9160</v>
      </c>
      <c r="CC11" s="8">
        <v>74147</v>
      </c>
      <c r="CD11" s="8">
        <v>71873</v>
      </c>
      <c r="CE11" s="8">
        <v>-15</v>
      </c>
      <c r="CF11" s="8">
        <v>435</v>
      </c>
      <c r="CG11" s="8">
        <v>-10</v>
      </c>
      <c r="CH11" s="8">
        <v>65</v>
      </c>
      <c r="CI11" s="8">
        <v>11036</v>
      </c>
      <c r="CJ11" s="8">
        <v>-1017</v>
      </c>
      <c r="CK11" s="8">
        <v>-2467</v>
      </c>
      <c r="CL11" s="8">
        <v>14987</v>
      </c>
      <c r="CM11" s="8">
        <v>1359</v>
      </c>
      <c r="CN11" s="8">
        <v>-57</v>
      </c>
      <c r="CO11" s="8">
        <v>6516</v>
      </c>
      <c r="CP11" s="8">
        <v>2355</v>
      </c>
      <c r="CQ11" s="8">
        <v>-1127</v>
      </c>
      <c r="CR11" s="8"/>
      <c r="CS11" s="8">
        <v>1546</v>
      </c>
      <c r="CT11" s="8">
        <v>-124</v>
      </c>
      <c r="CU11" s="8">
        <v>0</v>
      </c>
      <c r="CV11" s="8">
        <v>83</v>
      </c>
      <c r="CW11" s="8">
        <v>115</v>
      </c>
      <c r="CX11" s="8">
        <v>0</v>
      </c>
      <c r="CY11" s="8">
        <v>0</v>
      </c>
      <c r="CZ11" s="8">
        <v>0</v>
      </c>
      <c r="DA11" s="8">
        <v>679</v>
      </c>
      <c r="DB11" s="8"/>
      <c r="DC11" s="8"/>
      <c r="DD11" s="8">
        <v>695</v>
      </c>
      <c r="DE11" s="8"/>
      <c r="DF11" s="8"/>
      <c r="DG11" s="8"/>
      <c r="DH11" s="8"/>
      <c r="DI11" s="8">
        <v>974339</v>
      </c>
    </row>
    <row r="12" spans="1:113" x14ac:dyDescent="0.3">
      <c r="A12">
        <v>500002</v>
      </c>
      <c r="B12" s="2">
        <v>44896</v>
      </c>
      <c r="C12">
        <v>33</v>
      </c>
      <c r="D12">
        <v>37</v>
      </c>
      <c r="E12">
        <v>-4</v>
      </c>
      <c r="F12">
        <v>-10.81</v>
      </c>
      <c r="I12" s="7" t="s">
        <v>23</v>
      </c>
      <c r="J12" s="8">
        <v>29.627411764705887</v>
      </c>
      <c r="M12" s="7" t="s">
        <v>22</v>
      </c>
      <c r="N12" s="8">
        <v>229</v>
      </c>
      <c r="O12" s="8">
        <v>26755</v>
      </c>
      <c r="P12" s="8"/>
      <c r="Q12" s="8">
        <v>25</v>
      </c>
      <c r="R12" s="8">
        <v>455</v>
      </c>
      <c r="S12" s="8">
        <v>-304</v>
      </c>
      <c r="T12" s="8">
        <v>26</v>
      </c>
      <c r="U12" s="8">
        <v>235012</v>
      </c>
      <c r="V12" s="8">
        <v>-707</v>
      </c>
      <c r="W12" s="8">
        <v>25636</v>
      </c>
      <c r="X12" s="8">
        <v>-163</v>
      </c>
      <c r="Y12" s="8">
        <v>93085</v>
      </c>
      <c r="Z12" s="8">
        <v>-184</v>
      </c>
      <c r="AA12" s="8">
        <v>0</v>
      </c>
      <c r="AB12" s="8">
        <v>0</v>
      </c>
      <c r="AC12" s="8">
        <v>3228</v>
      </c>
      <c r="AD12" s="8">
        <v>18321</v>
      </c>
      <c r="AE12" s="8">
        <v>-65</v>
      </c>
      <c r="AF12" s="8">
        <v>-2814</v>
      </c>
      <c r="AG12" s="8">
        <v>2249</v>
      </c>
      <c r="AH12" s="8">
        <v>4831</v>
      </c>
      <c r="AI12" s="8">
        <v>29490</v>
      </c>
      <c r="AJ12" s="8">
        <v>12</v>
      </c>
      <c r="AK12" s="8">
        <v>-283</v>
      </c>
      <c r="AL12" s="8">
        <v>434</v>
      </c>
      <c r="AM12" s="8">
        <v>1608</v>
      </c>
      <c r="AN12" s="8">
        <v>1</v>
      </c>
      <c r="AO12" s="8">
        <v>3712</v>
      </c>
      <c r="AP12" s="8">
        <v>-908</v>
      </c>
      <c r="AQ12" s="8">
        <v>0</v>
      </c>
      <c r="AR12" s="8">
        <v>12784</v>
      </c>
      <c r="AS12" s="8">
        <v>2744</v>
      </c>
      <c r="AT12" s="8">
        <v>-72</v>
      </c>
      <c r="AU12" s="8">
        <v>-7660</v>
      </c>
      <c r="AV12" s="8">
        <v>0</v>
      </c>
      <c r="AW12" s="8">
        <v>12968</v>
      </c>
      <c r="AX12" s="8">
        <v>-3</v>
      </c>
      <c r="AY12" s="8">
        <v>-2</v>
      </c>
      <c r="AZ12" s="8">
        <v>-114</v>
      </c>
      <c r="BA12" s="8">
        <v>169</v>
      </c>
      <c r="BB12" s="8">
        <v>-5</v>
      </c>
      <c r="BC12" s="8">
        <v>822</v>
      </c>
      <c r="BD12" s="8">
        <v>27</v>
      </c>
      <c r="BE12" s="8">
        <v>260</v>
      </c>
      <c r="BF12" s="8"/>
      <c r="BG12" s="8">
        <v>2732</v>
      </c>
      <c r="BH12" s="8">
        <v>648</v>
      </c>
      <c r="BI12" s="8">
        <v>-14</v>
      </c>
      <c r="BJ12" s="8">
        <v>1375</v>
      </c>
      <c r="BK12" s="8">
        <v>-68</v>
      </c>
      <c r="BL12" s="8">
        <v>11591</v>
      </c>
      <c r="BM12" s="8">
        <v>-224</v>
      </c>
      <c r="BN12" s="8">
        <v>-630</v>
      </c>
      <c r="BO12" s="8">
        <v>6435</v>
      </c>
      <c r="BP12" s="8">
        <v>-30023</v>
      </c>
      <c r="BQ12" s="8">
        <v>-252</v>
      </c>
      <c r="BR12" s="8">
        <v>48510</v>
      </c>
      <c r="BS12" s="8">
        <v>-246</v>
      </c>
      <c r="BT12" s="8">
        <v>54152</v>
      </c>
      <c r="BU12" s="8">
        <v>19488</v>
      </c>
      <c r="BV12" s="8">
        <v>73358</v>
      </c>
      <c r="BW12" s="8">
        <v>-370</v>
      </c>
      <c r="BX12" s="8">
        <v>9133</v>
      </c>
      <c r="BY12" s="8">
        <v>391</v>
      </c>
      <c r="BZ12" s="8">
        <v>344</v>
      </c>
      <c r="CA12" s="8">
        <v>-3320</v>
      </c>
      <c r="CB12" s="8">
        <v>7519</v>
      </c>
      <c r="CC12" s="8">
        <v>54213</v>
      </c>
      <c r="CD12" s="8">
        <v>51575</v>
      </c>
      <c r="CE12" s="8">
        <v>9</v>
      </c>
      <c r="CF12" s="8">
        <v>-1338</v>
      </c>
      <c r="CG12" s="8">
        <v>2497</v>
      </c>
      <c r="CH12" s="8">
        <v>61</v>
      </c>
      <c r="CI12" s="8">
        <v>20797</v>
      </c>
      <c r="CJ12" s="8">
        <v>337</v>
      </c>
      <c r="CK12" s="8">
        <v>2161</v>
      </c>
      <c r="CL12" s="8">
        <v>12023</v>
      </c>
      <c r="CM12" s="8">
        <v>4797</v>
      </c>
      <c r="CN12" s="8">
        <v>53</v>
      </c>
      <c r="CO12" s="8">
        <v>6805</v>
      </c>
      <c r="CP12" s="8">
        <v>592</v>
      </c>
      <c r="CQ12" s="8">
        <v>230</v>
      </c>
      <c r="CR12" s="8">
        <v>9701</v>
      </c>
      <c r="CS12" s="8">
        <v>580</v>
      </c>
      <c r="CT12" s="8">
        <v>108</v>
      </c>
      <c r="CU12" s="8">
        <v>0</v>
      </c>
      <c r="CV12" s="8">
        <v>-338</v>
      </c>
      <c r="CW12" s="8">
        <v>263</v>
      </c>
      <c r="CX12" s="8">
        <v>0</v>
      </c>
      <c r="CY12" s="8">
        <v>0</v>
      </c>
      <c r="CZ12" s="8">
        <v>0</v>
      </c>
      <c r="DA12" s="8">
        <v>-679</v>
      </c>
      <c r="DB12" s="8"/>
      <c r="DC12" s="8"/>
      <c r="DD12" s="8">
        <v>1201</v>
      </c>
      <c r="DE12" s="8"/>
      <c r="DF12" s="8"/>
      <c r="DG12" s="8"/>
      <c r="DH12" s="8"/>
      <c r="DI12" s="8">
        <v>827776</v>
      </c>
    </row>
    <row r="13" spans="1:113" x14ac:dyDescent="0.3">
      <c r="A13">
        <v>500010</v>
      </c>
      <c r="B13" s="2">
        <v>41334</v>
      </c>
      <c r="C13">
        <v>163663</v>
      </c>
      <c r="D13">
        <v>142479</v>
      </c>
      <c r="E13">
        <v>21184</v>
      </c>
      <c r="F13">
        <v>14.87</v>
      </c>
      <c r="I13" s="7" t="s">
        <v>24</v>
      </c>
      <c r="J13" s="8">
        <v>47.599770114942544</v>
      </c>
      <c r="M13" s="7" t="s">
        <v>23</v>
      </c>
      <c r="N13" s="8">
        <v>0</v>
      </c>
      <c r="O13" s="8">
        <v>32061</v>
      </c>
      <c r="P13" s="8">
        <v>10370</v>
      </c>
      <c r="Q13" s="8">
        <v>3</v>
      </c>
      <c r="R13" s="8">
        <v>3499</v>
      </c>
      <c r="S13" s="8">
        <v>-564</v>
      </c>
      <c r="T13" s="8">
        <v>71</v>
      </c>
      <c r="U13" s="8">
        <v>317633</v>
      </c>
      <c r="V13" s="8">
        <v>13</v>
      </c>
      <c r="W13" s="8">
        <v>14324</v>
      </c>
      <c r="X13" s="8">
        <v>-962</v>
      </c>
      <c r="Y13" s="8">
        <v>139825</v>
      </c>
      <c r="Z13" s="8">
        <v>132</v>
      </c>
      <c r="AA13" s="8">
        <v>0</v>
      </c>
      <c r="AB13" s="8">
        <v>0</v>
      </c>
      <c r="AC13" s="8">
        <v>4214</v>
      </c>
      <c r="AD13" s="8">
        <v>75421</v>
      </c>
      <c r="AE13" s="8">
        <v>133</v>
      </c>
      <c r="AF13" s="8">
        <v>-9974</v>
      </c>
      <c r="AG13" s="8">
        <v>575</v>
      </c>
      <c r="AH13" s="8">
        <v>-8444</v>
      </c>
      <c r="AI13" s="8">
        <v>26463</v>
      </c>
      <c r="AJ13" s="8">
        <v>22</v>
      </c>
      <c r="AK13" s="8">
        <v>-36</v>
      </c>
      <c r="AL13" s="8">
        <v>-1758</v>
      </c>
      <c r="AM13" s="8">
        <v>-388</v>
      </c>
      <c r="AN13" s="8">
        <v>-6</v>
      </c>
      <c r="AO13" s="8">
        <v>-916</v>
      </c>
      <c r="AP13" s="8">
        <v>1286</v>
      </c>
      <c r="AQ13" s="8">
        <v>0</v>
      </c>
      <c r="AR13" s="8">
        <v>-6808</v>
      </c>
      <c r="AS13" s="8">
        <v>3642</v>
      </c>
      <c r="AT13" s="8">
        <v>-61</v>
      </c>
      <c r="AU13" s="8">
        <v>-2104</v>
      </c>
      <c r="AV13" s="8">
        <v>0</v>
      </c>
      <c r="AW13" s="8">
        <v>-4250</v>
      </c>
      <c r="AX13" s="8">
        <v>134</v>
      </c>
      <c r="AY13" s="8">
        <v>15</v>
      </c>
      <c r="AZ13" s="8">
        <v>30</v>
      </c>
      <c r="BA13" s="8">
        <v>-95</v>
      </c>
      <c r="BB13" s="8">
        <v>-14</v>
      </c>
      <c r="BC13" s="8">
        <v>-548</v>
      </c>
      <c r="BD13" s="8">
        <v>-185</v>
      </c>
      <c r="BE13" s="8">
        <v>80</v>
      </c>
      <c r="BF13" s="8">
        <v>-35</v>
      </c>
      <c r="BG13" s="8">
        <v>4631</v>
      </c>
      <c r="BH13" s="8">
        <v>842</v>
      </c>
      <c r="BI13" s="8">
        <v>-256</v>
      </c>
      <c r="BJ13" s="8">
        <v>3096</v>
      </c>
      <c r="BK13" s="8">
        <v>1977</v>
      </c>
      <c r="BL13" s="8">
        <v>-64402</v>
      </c>
      <c r="BM13" s="8">
        <v>-49</v>
      </c>
      <c r="BN13" s="8">
        <v>-290</v>
      </c>
      <c r="BO13" s="8">
        <v>-499</v>
      </c>
      <c r="BP13" s="8">
        <v>-6341</v>
      </c>
      <c r="BQ13" s="8">
        <v>-97</v>
      </c>
      <c r="BR13" s="8">
        <v>-44947</v>
      </c>
      <c r="BS13" s="8">
        <v>-9239</v>
      </c>
      <c r="BT13" s="8">
        <v>74248</v>
      </c>
      <c r="BU13" s="8">
        <v>23244</v>
      </c>
      <c r="BV13" s="8">
        <v>65512</v>
      </c>
      <c r="BW13" s="8">
        <v>442</v>
      </c>
      <c r="BX13" s="8">
        <v>1296</v>
      </c>
      <c r="BY13" s="8">
        <v>-28</v>
      </c>
      <c r="BZ13" s="8">
        <v>174</v>
      </c>
      <c r="CA13" s="8">
        <v>-745</v>
      </c>
      <c r="CB13" s="8">
        <v>17231</v>
      </c>
      <c r="CC13" s="8">
        <v>77606</v>
      </c>
      <c r="CD13" s="8">
        <v>7224</v>
      </c>
      <c r="CE13" s="8">
        <v>15</v>
      </c>
      <c r="CF13" s="8">
        <v>-435</v>
      </c>
      <c r="CG13" s="8">
        <v>787</v>
      </c>
      <c r="CH13" s="8">
        <v>-113</v>
      </c>
      <c r="CI13" s="8">
        <v>-2828</v>
      </c>
      <c r="CJ13" s="8">
        <v>391</v>
      </c>
      <c r="CK13" s="8">
        <v>769</v>
      </c>
      <c r="CL13" s="8">
        <v>12302</v>
      </c>
      <c r="CM13" s="8">
        <v>4569</v>
      </c>
      <c r="CN13" s="8">
        <v>6</v>
      </c>
      <c r="CO13" s="8">
        <v>9750</v>
      </c>
      <c r="CP13" s="8">
        <v>7987</v>
      </c>
      <c r="CQ13" s="8">
        <v>791</v>
      </c>
      <c r="CR13" s="8">
        <v>-1116</v>
      </c>
      <c r="CS13" s="8">
        <v>-681</v>
      </c>
      <c r="CT13" s="8">
        <v>-163</v>
      </c>
      <c r="CU13" s="8">
        <v>1029</v>
      </c>
      <c r="CV13" s="8">
        <v>138</v>
      </c>
      <c r="CW13" s="8">
        <v>288</v>
      </c>
      <c r="CX13" s="8">
        <v>0</v>
      </c>
      <c r="CY13" s="8">
        <v>0</v>
      </c>
      <c r="CZ13" s="8">
        <v>0</v>
      </c>
      <c r="DA13" s="8">
        <v>75</v>
      </c>
      <c r="DB13" s="8"/>
      <c r="DC13" s="8"/>
      <c r="DD13" s="8">
        <v>1229</v>
      </c>
      <c r="DE13" s="8"/>
      <c r="DF13" s="8"/>
      <c r="DG13" s="8"/>
      <c r="DH13" s="8"/>
      <c r="DI13" s="8">
        <v>778218</v>
      </c>
    </row>
    <row r="14" spans="1:113" x14ac:dyDescent="0.3">
      <c r="A14">
        <v>500010</v>
      </c>
      <c r="B14" s="2">
        <v>41699</v>
      </c>
      <c r="C14">
        <v>190602</v>
      </c>
      <c r="D14">
        <v>163663</v>
      </c>
      <c r="E14">
        <v>26939</v>
      </c>
      <c r="F14">
        <v>16.46</v>
      </c>
      <c r="I14" s="7" t="s">
        <v>25</v>
      </c>
      <c r="J14" s="8">
        <v>20.905113636363641</v>
      </c>
      <c r="M14" s="7" t="s">
        <v>24</v>
      </c>
      <c r="N14" s="8">
        <v>8</v>
      </c>
      <c r="O14" s="8">
        <v>44377</v>
      </c>
      <c r="P14" s="8">
        <v>12225</v>
      </c>
      <c r="Q14" s="8">
        <v>36</v>
      </c>
      <c r="R14" s="8">
        <v>-1089</v>
      </c>
      <c r="S14" s="8">
        <v>-26</v>
      </c>
      <c r="T14" s="8">
        <v>170</v>
      </c>
      <c r="U14" s="8">
        <v>320919</v>
      </c>
      <c r="V14" s="8">
        <v>1769</v>
      </c>
      <c r="W14" s="8">
        <v>-11099</v>
      </c>
      <c r="X14" s="8">
        <v>1566</v>
      </c>
      <c r="Y14" s="8">
        <v>91963</v>
      </c>
      <c r="Z14" s="8">
        <v>29</v>
      </c>
      <c r="AA14" s="8">
        <v>7908</v>
      </c>
      <c r="AB14" s="8">
        <v>0</v>
      </c>
      <c r="AC14" s="8">
        <v>1130</v>
      </c>
      <c r="AD14" s="8">
        <v>25551</v>
      </c>
      <c r="AE14" s="8">
        <v>-8</v>
      </c>
      <c r="AF14" s="8">
        <v>3791</v>
      </c>
      <c r="AG14" s="8">
        <v>-3292</v>
      </c>
      <c r="AH14" s="8">
        <v>34529</v>
      </c>
      <c r="AI14" s="8">
        <v>22761</v>
      </c>
      <c r="AJ14" s="8">
        <v>18</v>
      </c>
      <c r="AK14" s="8">
        <v>412</v>
      </c>
      <c r="AL14" s="8">
        <v>9966</v>
      </c>
      <c r="AM14" s="8">
        <v>158</v>
      </c>
      <c r="AN14" s="8">
        <v>-5</v>
      </c>
      <c r="AO14" s="8">
        <v>-3735</v>
      </c>
      <c r="AP14" s="8">
        <v>1027</v>
      </c>
      <c r="AQ14" s="8">
        <v>0</v>
      </c>
      <c r="AR14" s="8">
        <v>5985</v>
      </c>
      <c r="AS14" s="8">
        <v>7209</v>
      </c>
      <c r="AT14" s="8">
        <v>-50</v>
      </c>
      <c r="AU14" s="8">
        <v>12337</v>
      </c>
      <c r="AV14" s="8">
        <v>0</v>
      </c>
      <c r="AW14" s="8">
        <v>9244</v>
      </c>
      <c r="AX14" s="8">
        <v>100</v>
      </c>
      <c r="AY14" s="8">
        <v>2</v>
      </c>
      <c r="AZ14" s="8">
        <v>-567</v>
      </c>
      <c r="BA14" s="8">
        <v>237</v>
      </c>
      <c r="BB14" s="8">
        <v>-6</v>
      </c>
      <c r="BC14" s="8">
        <v>-1143</v>
      </c>
      <c r="BD14" s="8">
        <v>-38</v>
      </c>
      <c r="BE14" s="8">
        <v>-119</v>
      </c>
      <c r="BF14" s="8">
        <v>89</v>
      </c>
      <c r="BG14" s="8">
        <v>1719</v>
      </c>
      <c r="BH14" s="8">
        <v>291</v>
      </c>
      <c r="BI14" s="8">
        <v>52</v>
      </c>
      <c r="BJ14" s="8">
        <v>1525</v>
      </c>
      <c r="BK14" s="8">
        <v>1103</v>
      </c>
      <c r="BL14" s="8">
        <v>1677</v>
      </c>
      <c r="BM14" s="8">
        <v>809</v>
      </c>
      <c r="BN14" s="8">
        <v>74</v>
      </c>
      <c r="BO14" s="8">
        <v>1335</v>
      </c>
      <c r="BP14" s="8">
        <v>4719</v>
      </c>
      <c r="BQ14" s="8">
        <v>-92</v>
      </c>
      <c r="BR14" s="8">
        <v>27963</v>
      </c>
      <c r="BS14" s="8">
        <v>-2499</v>
      </c>
      <c r="BT14" s="8">
        <v>29419</v>
      </c>
      <c r="BU14" s="8">
        <v>31030</v>
      </c>
      <c r="BV14" s="8">
        <v>55287</v>
      </c>
      <c r="BW14" s="8">
        <v>-508</v>
      </c>
      <c r="BX14" s="8">
        <v>-947</v>
      </c>
      <c r="BY14" s="8">
        <v>220</v>
      </c>
      <c r="BZ14" s="8">
        <v>1110</v>
      </c>
      <c r="CA14" s="8">
        <v>-98</v>
      </c>
      <c r="CB14" s="8">
        <v>6642</v>
      </c>
      <c r="CC14" s="8">
        <v>20931</v>
      </c>
      <c r="CD14" s="8">
        <v>28146</v>
      </c>
      <c r="CE14" s="8">
        <v>-6</v>
      </c>
      <c r="CF14" s="8">
        <v>253</v>
      </c>
      <c r="CG14" s="8">
        <v>-2142</v>
      </c>
      <c r="CH14" s="8">
        <v>44</v>
      </c>
      <c r="CI14" s="8">
        <v>14349</v>
      </c>
      <c r="CJ14" s="8">
        <v>275</v>
      </c>
      <c r="CK14" s="8">
        <v>3938</v>
      </c>
      <c r="CL14" s="8">
        <v>10443</v>
      </c>
      <c r="CM14" s="8">
        <v>-128</v>
      </c>
      <c r="CN14" s="8">
        <v>2</v>
      </c>
      <c r="CO14" s="8">
        <v>12220</v>
      </c>
      <c r="CP14" s="8">
        <v>-245</v>
      </c>
      <c r="CQ14" s="8">
        <v>1815</v>
      </c>
      <c r="CR14" s="8">
        <v>390</v>
      </c>
      <c r="CS14" s="8">
        <v>-649</v>
      </c>
      <c r="CT14" s="8">
        <v>-55</v>
      </c>
      <c r="CU14" s="8">
        <v>-1029</v>
      </c>
      <c r="CV14" s="8">
        <v>439</v>
      </c>
      <c r="CW14" s="8">
        <v>305</v>
      </c>
      <c r="CX14" s="8">
        <v>485</v>
      </c>
      <c r="CY14" s="8">
        <v>0</v>
      </c>
      <c r="CZ14" s="8">
        <v>0</v>
      </c>
      <c r="DA14" s="8">
        <v>942</v>
      </c>
      <c r="DB14" s="8"/>
      <c r="DC14" s="8"/>
      <c r="DD14" s="8">
        <v>2340</v>
      </c>
      <c r="DE14" s="8"/>
      <c r="DF14" s="8"/>
      <c r="DG14" s="8">
        <v>674</v>
      </c>
      <c r="DH14" s="8"/>
      <c r="DI14" s="8">
        <v>848907</v>
      </c>
    </row>
    <row r="15" spans="1:113" x14ac:dyDescent="0.3">
      <c r="A15">
        <v>500010</v>
      </c>
      <c r="B15" s="2">
        <v>42064</v>
      </c>
      <c r="C15">
        <v>217357</v>
      </c>
      <c r="D15">
        <v>190602</v>
      </c>
      <c r="E15">
        <v>26755</v>
      </c>
      <c r="F15">
        <v>14.04</v>
      </c>
      <c r="I15" s="7" t="s">
        <v>26</v>
      </c>
      <c r="J15" s="8">
        <v>39.578750000000007</v>
      </c>
      <c r="M15" s="7" t="s">
        <v>25</v>
      </c>
      <c r="N15" s="8">
        <v>-601</v>
      </c>
      <c r="O15" s="8">
        <v>42621</v>
      </c>
      <c r="P15" s="8">
        <v>17307</v>
      </c>
      <c r="Q15" s="8">
        <v>16</v>
      </c>
      <c r="R15" s="8">
        <v>-15</v>
      </c>
      <c r="S15" s="8">
        <v>1539</v>
      </c>
      <c r="T15" s="8">
        <v>-37</v>
      </c>
      <c r="U15" s="8">
        <v>155082</v>
      </c>
      <c r="V15" s="8">
        <v>-191</v>
      </c>
      <c r="W15" s="8">
        <v>-13618</v>
      </c>
      <c r="X15" s="8">
        <v>153</v>
      </c>
      <c r="Y15" s="8">
        <v>203267</v>
      </c>
      <c r="Z15" s="8">
        <v>-33</v>
      </c>
      <c r="AA15" s="8">
        <v>-7908</v>
      </c>
      <c r="AB15" s="8">
        <v>0</v>
      </c>
      <c r="AC15" s="8">
        <v>-4149</v>
      </c>
      <c r="AD15" s="8">
        <v>44610</v>
      </c>
      <c r="AE15" s="8">
        <v>-1</v>
      </c>
      <c r="AF15" s="8">
        <v>-13410</v>
      </c>
      <c r="AG15" s="8">
        <v>57801</v>
      </c>
      <c r="AH15" s="8">
        <v>26521</v>
      </c>
      <c r="AI15" s="8">
        <v>22368</v>
      </c>
      <c r="AJ15" s="8">
        <v>27</v>
      </c>
      <c r="AK15" s="8">
        <v>2110</v>
      </c>
      <c r="AL15" s="8">
        <v>-471</v>
      </c>
      <c r="AM15" s="8">
        <v>3952</v>
      </c>
      <c r="AN15" s="8">
        <v>16</v>
      </c>
      <c r="AO15" s="8">
        <v>-11743</v>
      </c>
      <c r="AP15" s="8">
        <v>9113</v>
      </c>
      <c r="AQ15" s="8">
        <v>0</v>
      </c>
      <c r="AR15" s="8">
        <v>13812</v>
      </c>
      <c r="AS15" s="8">
        <v>7136</v>
      </c>
      <c r="AT15" s="8">
        <v>0</v>
      </c>
      <c r="AU15" s="8">
        <v>1934</v>
      </c>
      <c r="AV15" s="8">
        <v>0</v>
      </c>
      <c r="AW15" s="8">
        <v>10346</v>
      </c>
      <c r="AX15" s="8">
        <v>-277</v>
      </c>
      <c r="AY15" s="8">
        <v>0</v>
      </c>
      <c r="AZ15" s="8">
        <v>281</v>
      </c>
      <c r="BA15" s="8">
        <v>-27</v>
      </c>
      <c r="BB15" s="8">
        <v>76</v>
      </c>
      <c r="BC15" s="8">
        <v>-956</v>
      </c>
      <c r="BD15" s="8">
        <v>-10</v>
      </c>
      <c r="BE15" s="8">
        <v>746</v>
      </c>
      <c r="BF15" s="8">
        <v>39</v>
      </c>
      <c r="BG15" s="8">
        <v>-340</v>
      </c>
      <c r="BH15" s="8">
        <v>302</v>
      </c>
      <c r="BI15" s="8">
        <v>16</v>
      </c>
      <c r="BJ15" s="8">
        <v>14259</v>
      </c>
      <c r="BK15" s="8">
        <v>277</v>
      </c>
      <c r="BL15" s="8">
        <v>-3209</v>
      </c>
      <c r="BM15" s="8">
        <v>-139</v>
      </c>
      <c r="BN15" s="8">
        <v>-93</v>
      </c>
      <c r="BO15" s="8">
        <v>553</v>
      </c>
      <c r="BP15" s="8">
        <v>2379</v>
      </c>
      <c r="BQ15" s="8">
        <v>73</v>
      </c>
      <c r="BR15" s="8">
        <v>23812</v>
      </c>
      <c r="BS15" s="8">
        <v>-2677</v>
      </c>
      <c r="BT15" s="8">
        <v>114324</v>
      </c>
      <c r="BU15" s="8">
        <v>40902</v>
      </c>
      <c r="BV15" s="8">
        <v>83988</v>
      </c>
      <c r="BW15" s="8">
        <v>-25</v>
      </c>
      <c r="BX15" s="8">
        <v>-2888</v>
      </c>
      <c r="BY15" s="8">
        <v>5617</v>
      </c>
      <c r="BZ15" s="8">
        <v>-493</v>
      </c>
      <c r="CA15" s="8">
        <v>-723</v>
      </c>
      <c r="CB15" s="8">
        <v>4046</v>
      </c>
      <c r="CC15" s="8">
        <v>40782</v>
      </c>
      <c r="CD15" s="8">
        <v>28898</v>
      </c>
      <c r="CE15" s="8">
        <v>27</v>
      </c>
      <c r="CF15" s="8">
        <v>-363</v>
      </c>
      <c r="CG15" s="8">
        <v>11006</v>
      </c>
      <c r="CH15" s="8">
        <v>-42</v>
      </c>
      <c r="CI15" s="8">
        <v>16276</v>
      </c>
      <c r="CJ15" s="8">
        <v>1031</v>
      </c>
      <c r="CK15" s="8">
        <v>-11711</v>
      </c>
      <c r="CL15" s="8">
        <v>12515</v>
      </c>
      <c r="CM15" s="8">
        <v>-102</v>
      </c>
      <c r="CN15" s="8">
        <v>1</v>
      </c>
      <c r="CO15" s="8">
        <v>17413</v>
      </c>
      <c r="CP15" s="8">
        <v>351</v>
      </c>
      <c r="CQ15" s="8">
        <v>-1476</v>
      </c>
      <c r="CR15" s="8">
        <v>1453</v>
      </c>
      <c r="CS15" s="8">
        <v>-143</v>
      </c>
      <c r="CT15" s="8">
        <v>0</v>
      </c>
      <c r="CU15" s="8">
        <v>0</v>
      </c>
      <c r="CV15" s="8">
        <v>154</v>
      </c>
      <c r="CW15" s="8">
        <v>-1058</v>
      </c>
      <c r="CX15" s="8">
        <v>0</v>
      </c>
      <c r="CY15" s="8">
        <v>0</v>
      </c>
      <c r="CZ15" s="8">
        <v>0</v>
      </c>
      <c r="DA15" s="8">
        <v>-117</v>
      </c>
      <c r="DB15" s="8">
        <v>5517</v>
      </c>
      <c r="DC15" s="8"/>
      <c r="DD15" s="8">
        <v>3145</v>
      </c>
      <c r="DE15" s="8">
        <v>107</v>
      </c>
      <c r="DF15" s="8"/>
      <c r="DG15" s="8">
        <v>-378</v>
      </c>
      <c r="DH15" s="8">
        <v>0</v>
      </c>
      <c r="DI15" s="8">
        <v>970673</v>
      </c>
    </row>
    <row r="16" spans="1:113" x14ac:dyDescent="0.3">
      <c r="A16">
        <v>500010</v>
      </c>
      <c r="B16" s="2">
        <v>42430</v>
      </c>
      <c r="C16">
        <v>249418</v>
      </c>
      <c r="D16">
        <v>217357</v>
      </c>
      <c r="E16">
        <v>32061</v>
      </c>
      <c r="F16">
        <v>14.75</v>
      </c>
      <c r="I16" s="7" t="s">
        <v>27</v>
      </c>
      <c r="J16" s="8">
        <v>213.53122222222228</v>
      </c>
      <c r="M16" s="7" t="s">
        <v>26</v>
      </c>
      <c r="N16" s="8">
        <v>7</v>
      </c>
      <c r="O16" s="8">
        <v>50339</v>
      </c>
      <c r="P16" s="8">
        <v>35031</v>
      </c>
      <c r="Q16" s="8">
        <v>-46</v>
      </c>
      <c r="R16" s="8">
        <v>218</v>
      </c>
      <c r="S16" s="8">
        <v>256</v>
      </c>
      <c r="T16" s="8">
        <v>-239</v>
      </c>
      <c r="U16" s="8">
        <v>263031</v>
      </c>
      <c r="V16" s="8">
        <v>702</v>
      </c>
      <c r="W16" s="8">
        <v>-38484</v>
      </c>
      <c r="X16" s="8">
        <v>-1233</v>
      </c>
      <c r="Y16" s="8">
        <v>135418</v>
      </c>
      <c r="Z16" s="8">
        <v>84</v>
      </c>
      <c r="AA16" s="8">
        <v>2538</v>
      </c>
      <c r="AB16" s="8">
        <v>0</v>
      </c>
      <c r="AC16" s="8">
        <v>8191</v>
      </c>
      <c r="AD16" s="8">
        <v>41423</v>
      </c>
      <c r="AE16" s="8">
        <v>103</v>
      </c>
      <c r="AF16" s="8">
        <v>8067</v>
      </c>
      <c r="AG16" s="8">
        <v>17404</v>
      </c>
      <c r="AH16" s="8">
        <v>1192</v>
      </c>
      <c r="AI16" s="8">
        <v>67871</v>
      </c>
      <c r="AJ16" s="8">
        <v>-12</v>
      </c>
      <c r="AK16" s="8">
        <v>-605</v>
      </c>
      <c r="AL16" s="8">
        <v>162</v>
      </c>
      <c r="AM16" s="8">
        <v>-424</v>
      </c>
      <c r="AN16" s="8">
        <v>1</v>
      </c>
      <c r="AO16" s="8">
        <v>341</v>
      </c>
      <c r="AP16" s="8">
        <v>8676</v>
      </c>
      <c r="AQ16" s="8">
        <v>0</v>
      </c>
      <c r="AR16" s="8">
        <v>17960</v>
      </c>
      <c r="AS16" s="8">
        <v>14950</v>
      </c>
      <c r="AT16" s="8">
        <v>0</v>
      </c>
      <c r="AU16" s="8">
        <v>7180</v>
      </c>
      <c r="AV16" s="8">
        <v>0</v>
      </c>
      <c r="AW16" s="8">
        <v>17225</v>
      </c>
      <c r="AX16" s="8">
        <v>99</v>
      </c>
      <c r="AY16" s="8">
        <v>154</v>
      </c>
      <c r="AZ16" s="8">
        <v>73</v>
      </c>
      <c r="BA16" s="8">
        <v>787</v>
      </c>
      <c r="BB16" s="8">
        <v>-45</v>
      </c>
      <c r="BC16" s="8">
        <v>-101</v>
      </c>
      <c r="BD16" s="8">
        <v>-23</v>
      </c>
      <c r="BE16" s="8">
        <v>588</v>
      </c>
      <c r="BF16" s="8">
        <v>36</v>
      </c>
      <c r="BG16" s="8">
        <v>-3954</v>
      </c>
      <c r="BH16" s="8">
        <v>246</v>
      </c>
      <c r="BI16" s="8">
        <v>331</v>
      </c>
      <c r="BJ16" s="8">
        <v>12237</v>
      </c>
      <c r="BK16" s="8">
        <v>22501</v>
      </c>
      <c r="BL16" s="8">
        <v>-6394</v>
      </c>
      <c r="BM16" s="8">
        <v>-19</v>
      </c>
      <c r="BN16" s="8">
        <v>-21</v>
      </c>
      <c r="BO16" s="8">
        <v>129</v>
      </c>
      <c r="BP16" s="8">
        <v>31115</v>
      </c>
      <c r="BQ16" s="8">
        <v>40</v>
      </c>
      <c r="BR16" s="8">
        <v>62145</v>
      </c>
      <c r="BS16" s="8">
        <v>-1652</v>
      </c>
      <c r="BT16" s="8">
        <v>76443</v>
      </c>
      <c r="BU16" s="8">
        <v>52261</v>
      </c>
      <c r="BV16" s="8">
        <v>100571</v>
      </c>
      <c r="BW16" s="8">
        <v>3638</v>
      </c>
      <c r="BX16" s="8">
        <v>-3403</v>
      </c>
      <c r="BY16" s="8">
        <v>2370</v>
      </c>
      <c r="BZ16" s="8">
        <v>-126</v>
      </c>
      <c r="CA16" s="8">
        <v>-538</v>
      </c>
      <c r="CB16" s="8">
        <v>14094</v>
      </c>
      <c r="CC16" s="8">
        <v>14933</v>
      </c>
      <c r="CD16" s="8">
        <v>76410</v>
      </c>
      <c r="CE16" s="8">
        <v>43</v>
      </c>
      <c r="CF16" s="8">
        <v>39</v>
      </c>
      <c r="CG16" s="8">
        <v>5857</v>
      </c>
      <c r="CH16" s="8">
        <v>-185</v>
      </c>
      <c r="CI16" s="8">
        <v>43009</v>
      </c>
      <c r="CJ16" s="8">
        <v>-401</v>
      </c>
      <c r="CK16" s="8">
        <v>-269</v>
      </c>
      <c r="CL16" s="8">
        <v>14873</v>
      </c>
      <c r="CM16" s="8">
        <v>5334</v>
      </c>
      <c r="CN16" s="8">
        <v>4</v>
      </c>
      <c r="CO16" s="8">
        <v>34059</v>
      </c>
      <c r="CP16" s="8">
        <v>-5855</v>
      </c>
      <c r="CQ16" s="8">
        <v>672</v>
      </c>
      <c r="CR16" s="8">
        <v>9709</v>
      </c>
      <c r="CS16" s="8">
        <v>-24</v>
      </c>
      <c r="CT16" s="8">
        <v>0</v>
      </c>
      <c r="CU16" s="8">
        <v>0</v>
      </c>
      <c r="CV16" s="8">
        <v>609</v>
      </c>
      <c r="CW16" s="8">
        <v>261</v>
      </c>
      <c r="CX16" s="8">
        <v>0</v>
      </c>
      <c r="CY16" s="8">
        <v>0</v>
      </c>
      <c r="CZ16" s="8">
        <v>0</v>
      </c>
      <c r="DA16" s="8">
        <v>3252</v>
      </c>
      <c r="DB16" s="8">
        <v>1278</v>
      </c>
      <c r="DC16" s="8">
        <v>-951</v>
      </c>
      <c r="DD16" s="8">
        <v>2136</v>
      </c>
      <c r="DE16" s="8">
        <v>22</v>
      </c>
      <c r="DF16" s="8">
        <v>92</v>
      </c>
      <c r="DG16" s="8">
        <v>-415</v>
      </c>
      <c r="DH16" s="8">
        <v>0</v>
      </c>
      <c r="DI16" s="8">
        <v>1225401</v>
      </c>
    </row>
    <row r="17" spans="1:113" x14ac:dyDescent="0.3">
      <c r="A17">
        <v>500010</v>
      </c>
      <c r="B17" s="2">
        <v>42795</v>
      </c>
      <c r="C17">
        <v>293795</v>
      </c>
      <c r="D17">
        <v>249418</v>
      </c>
      <c r="E17">
        <v>44377</v>
      </c>
      <c r="F17">
        <v>17.79</v>
      </c>
      <c r="I17" s="7" t="s">
        <v>28</v>
      </c>
      <c r="J17" s="8">
        <v>22.312446808510636</v>
      </c>
      <c r="M17" s="7" t="s">
        <v>27</v>
      </c>
      <c r="N17" s="8">
        <v>44</v>
      </c>
      <c r="O17" s="8">
        <v>38613</v>
      </c>
      <c r="P17" s="8">
        <v>28218</v>
      </c>
      <c r="Q17" s="8">
        <v>-26</v>
      </c>
      <c r="R17" s="8">
        <v>-1500</v>
      </c>
      <c r="S17" s="8">
        <v>-540</v>
      </c>
      <c r="T17" s="8">
        <v>-177</v>
      </c>
      <c r="U17" s="8">
        <v>252772</v>
      </c>
      <c r="V17" s="8">
        <v>1169</v>
      </c>
      <c r="W17" s="8">
        <v>-13515</v>
      </c>
      <c r="X17" s="8">
        <v>-1628</v>
      </c>
      <c r="Y17" s="8">
        <v>252806</v>
      </c>
      <c r="Z17" s="8">
        <v>141</v>
      </c>
      <c r="AA17" s="8">
        <v>-1927</v>
      </c>
      <c r="AB17" s="8">
        <v>4633</v>
      </c>
      <c r="AC17" s="8">
        <v>14023</v>
      </c>
      <c r="AD17" s="8">
        <v>34714</v>
      </c>
      <c r="AE17" s="8">
        <v>-194</v>
      </c>
      <c r="AF17" s="8">
        <v>-7041</v>
      </c>
      <c r="AG17" s="8">
        <v>348</v>
      </c>
      <c r="AH17" s="8">
        <v>21731</v>
      </c>
      <c r="AI17" s="8">
        <v>47419</v>
      </c>
      <c r="AJ17" s="8">
        <v>175</v>
      </c>
      <c r="AK17" s="8">
        <v>346</v>
      </c>
      <c r="AL17" s="8">
        <v>3430</v>
      </c>
      <c r="AM17" s="8">
        <v>-254</v>
      </c>
      <c r="AN17" s="8">
        <v>430</v>
      </c>
      <c r="AO17" s="8">
        <v>15984</v>
      </c>
      <c r="AP17" s="8">
        <v>15525</v>
      </c>
      <c r="AQ17" s="8">
        <v>168</v>
      </c>
      <c r="AR17" s="8">
        <v>17191</v>
      </c>
      <c r="AS17" s="8">
        <v>11244</v>
      </c>
      <c r="AT17" s="8">
        <v>74</v>
      </c>
      <c r="AU17" s="8">
        <v>20637</v>
      </c>
      <c r="AV17" s="8">
        <v>206</v>
      </c>
      <c r="AW17" s="8">
        <v>18613</v>
      </c>
      <c r="AX17" s="8">
        <v>-99</v>
      </c>
      <c r="AY17" s="8">
        <v>-42</v>
      </c>
      <c r="AZ17" s="8">
        <v>445</v>
      </c>
      <c r="BA17" s="8">
        <v>-202</v>
      </c>
      <c r="BB17" s="8">
        <v>1382</v>
      </c>
      <c r="BC17" s="8">
        <v>2175</v>
      </c>
      <c r="BD17" s="8">
        <v>264</v>
      </c>
      <c r="BE17" s="8">
        <v>405</v>
      </c>
      <c r="BF17" s="8">
        <v>62</v>
      </c>
      <c r="BG17" s="8">
        <v>-223</v>
      </c>
      <c r="BH17" s="8">
        <v>-77</v>
      </c>
      <c r="BI17" s="8">
        <v>14</v>
      </c>
      <c r="BJ17" s="8">
        <v>4438</v>
      </c>
      <c r="BK17" s="8">
        <v>249</v>
      </c>
      <c r="BL17" s="8">
        <v>1176</v>
      </c>
      <c r="BM17" s="8">
        <v>376</v>
      </c>
      <c r="BN17" s="8">
        <v>-22</v>
      </c>
      <c r="BO17" s="8">
        <v>-2199</v>
      </c>
      <c r="BP17" s="8">
        <v>33025</v>
      </c>
      <c r="BQ17" s="8">
        <v>-14</v>
      </c>
      <c r="BR17" s="8">
        <v>334525</v>
      </c>
      <c r="BS17" s="8">
        <v>4688</v>
      </c>
      <c r="BT17" s="8">
        <v>122995</v>
      </c>
      <c r="BU17" s="8">
        <v>20604</v>
      </c>
      <c r="BV17" s="8">
        <v>85341</v>
      </c>
      <c r="BW17" s="8">
        <v>3791</v>
      </c>
      <c r="BX17" s="8">
        <v>-2735</v>
      </c>
      <c r="BY17" s="8">
        <v>2293</v>
      </c>
      <c r="BZ17" s="8">
        <v>193</v>
      </c>
      <c r="CA17" s="8">
        <v>-313</v>
      </c>
      <c r="CB17" s="8">
        <v>22800</v>
      </c>
      <c r="CC17" s="8">
        <v>44065</v>
      </c>
      <c r="CD17" s="8">
        <v>28004</v>
      </c>
      <c r="CE17" s="8">
        <v>-67</v>
      </c>
      <c r="CF17" s="8">
        <v>24</v>
      </c>
      <c r="CG17" s="8">
        <v>-2318</v>
      </c>
      <c r="CH17" s="8">
        <v>8112</v>
      </c>
      <c r="CI17" s="8">
        <v>29926</v>
      </c>
      <c r="CJ17" s="8">
        <v>1674</v>
      </c>
      <c r="CK17" s="8">
        <v>-9119</v>
      </c>
      <c r="CL17" s="8">
        <v>1894</v>
      </c>
      <c r="CM17" s="8">
        <v>2533</v>
      </c>
      <c r="CN17" s="8">
        <v>1</v>
      </c>
      <c r="CO17" s="8">
        <v>27458</v>
      </c>
      <c r="CP17" s="8">
        <v>8143</v>
      </c>
      <c r="CQ17" s="8">
        <v>4224</v>
      </c>
      <c r="CR17" s="8">
        <v>4109</v>
      </c>
      <c r="CS17" s="8">
        <v>20290</v>
      </c>
      <c r="CT17" s="8">
        <v>912</v>
      </c>
      <c r="CU17" s="8">
        <v>0</v>
      </c>
      <c r="CV17" s="8">
        <v>-201</v>
      </c>
      <c r="CW17" s="8">
        <v>-367</v>
      </c>
      <c r="CX17" s="8">
        <v>0</v>
      </c>
      <c r="CY17" s="8">
        <v>0</v>
      </c>
      <c r="CZ17" s="8">
        <v>0</v>
      </c>
      <c r="DA17" s="8">
        <v>1770</v>
      </c>
      <c r="DB17" s="8">
        <v>3725</v>
      </c>
      <c r="DC17" s="8">
        <v>34</v>
      </c>
      <c r="DD17" s="8">
        <v>4024</v>
      </c>
      <c r="DE17" s="8">
        <v>-128</v>
      </c>
      <c r="DF17" s="8">
        <v>-31</v>
      </c>
      <c r="DG17" s="8">
        <v>471</v>
      </c>
      <c r="DH17" s="8">
        <v>0</v>
      </c>
      <c r="DI17" s="8">
        <v>1588329</v>
      </c>
    </row>
    <row r="18" spans="1:113" x14ac:dyDescent="0.3">
      <c r="A18">
        <v>500010</v>
      </c>
      <c r="B18" s="2">
        <v>43160</v>
      </c>
      <c r="C18">
        <v>336416</v>
      </c>
      <c r="D18">
        <v>293795</v>
      </c>
      <c r="E18">
        <v>42621</v>
      </c>
      <c r="F18">
        <v>14.51</v>
      </c>
      <c r="I18" s="7" t="s">
        <v>29</v>
      </c>
      <c r="J18" s="8">
        <v>35.047549019607835</v>
      </c>
      <c r="M18" s="7" t="s">
        <v>28</v>
      </c>
      <c r="N18" s="8">
        <v>-21</v>
      </c>
      <c r="O18" s="8">
        <v>21643</v>
      </c>
      <c r="P18" s="8">
        <v>1828</v>
      </c>
      <c r="Q18" s="8">
        <v>-5</v>
      </c>
      <c r="R18" s="8">
        <v>-802</v>
      </c>
      <c r="S18" s="8">
        <v>-1273</v>
      </c>
      <c r="T18" s="8">
        <v>-13</v>
      </c>
      <c r="U18" s="8">
        <v>542066</v>
      </c>
      <c r="V18" s="8">
        <v>2076</v>
      </c>
      <c r="W18" s="8">
        <v>-12395</v>
      </c>
      <c r="X18" s="8">
        <v>821</v>
      </c>
      <c r="Y18" s="8">
        <v>178377</v>
      </c>
      <c r="Z18" s="8">
        <v>131</v>
      </c>
      <c r="AA18" s="8">
        <v>6590</v>
      </c>
      <c r="AB18" s="8">
        <v>692</v>
      </c>
      <c r="AC18" s="8">
        <v>5302</v>
      </c>
      <c r="AD18" s="8">
        <v>633</v>
      </c>
      <c r="AE18" s="8">
        <v>0</v>
      </c>
      <c r="AF18" s="8">
        <v>-1518</v>
      </c>
      <c r="AG18" s="8">
        <v>-5699</v>
      </c>
      <c r="AH18" s="8">
        <v>3714</v>
      </c>
      <c r="AI18" s="8">
        <v>-76171</v>
      </c>
      <c r="AJ18" s="8">
        <v>43</v>
      </c>
      <c r="AK18" s="8">
        <v>-988</v>
      </c>
      <c r="AL18" s="8">
        <v>-5228</v>
      </c>
      <c r="AM18" s="8">
        <v>-910</v>
      </c>
      <c r="AN18" s="8">
        <v>6</v>
      </c>
      <c r="AO18" s="8">
        <v>-1193</v>
      </c>
      <c r="AP18" s="8">
        <v>-27827</v>
      </c>
      <c r="AQ18" s="8">
        <v>-32</v>
      </c>
      <c r="AR18" s="8">
        <v>-8265</v>
      </c>
      <c r="AS18" s="8">
        <v>-1467</v>
      </c>
      <c r="AT18" s="8">
        <v>-20</v>
      </c>
      <c r="AU18" s="8">
        <v>-10944</v>
      </c>
      <c r="AV18" s="8">
        <v>-10</v>
      </c>
      <c r="AW18" s="8">
        <v>17343</v>
      </c>
      <c r="AX18" s="8">
        <v>1009</v>
      </c>
      <c r="AY18" s="8">
        <v>119</v>
      </c>
      <c r="AZ18" s="8">
        <v>48</v>
      </c>
      <c r="BA18" s="8">
        <v>-25</v>
      </c>
      <c r="BB18" s="8">
        <v>584</v>
      </c>
      <c r="BC18" s="8">
        <v>1017</v>
      </c>
      <c r="BD18" s="8">
        <v>-6</v>
      </c>
      <c r="BE18" s="8">
        <v>-666</v>
      </c>
      <c r="BF18" s="8">
        <v>-30</v>
      </c>
      <c r="BG18" s="8">
        <v>727</v>
      </c>
      <c r="BH18" s="8">
        <v>564</v>
      </c>
      <c r="BI18" s="8">
        <v>-133</v>
      </c>
      <c r="BJ18" s="8">
        <v>8725</v>
      </c>
      <c r="BK18" s="8">
        <v>-4869</v>
      </c>
      <c r="BL18" s="8">
        <v>3808</v>
      </c>
      <c r="BM18" s="8">
        <v>3340</v>
      </c>
      <c r="BN18" s="8">
        <v>449</v>
      </c>
      <c r="BO18" s="8">
        <v>-4446</v>
      </c>
      <c r="BP18" s="8">
        <v>-13141</v>
      </c>
      <c r="BQ18" s="8">
        <v>173</v>
      </c>
      <c r="BR18" s="8">
        <v>-1808</v>
      </c>
      <c r="BS18" s="8">
        <v>961</v>
      </c>
      <c r="BT18" s="8">
        <v>89204</v>
      </c>
      <c r="BU18" s="8">
        <v>44735</v>
      </c>
      <c r="BV18" s="8">
        <v>53214</v>
      </c>
      <c r="BW18" s="8">
        <v>-1122</v>
      </c>
      <c r="BX18" s="8">
        <v>-6914</v>
      </c>
      <c r="BY18" s="8">
        <v>588</v>
      </c>
      <c r="BZ18" s="8">
        <v>-1711</v>
      </c>
      <c r="CA18" s="8">
        <v>-1533</v>
      </c>
      <c r="CB18" s="8">
        <v>14557</v>
      </c>
      <c r="CC18" s="8">
        <v>393248</v>
      </c>
      <c r="CD18" s="8">
        <v>392828</v>
      </c>
      <c r="CE18" s="8">
        <v>-34</v>
      </c>
      <c r="CF18" s="8">
        <v>357</v>
      </c>
      <c r="CG18" s="8">
        <v>-1300</v>
      </c>
      <c r="CH18" s="8">
        <v>-379</v>
      </c>
      <c r="CI18" s="8">
        <v>7224</v>
      </c>
      <c r="CJ18" s="8">
        <v>-769</v>
      </c>
      <c r="CK18" s="8">
        <v>-1318</v>
      </c>
      <c r="CL18" s="8">
        <v>-5038</v>
      </c>
      <c r="CM18" s="8">
        <v>5604</v>
      </c>
      <c r="CN18" s="8">
        <v>-5</v>
      </c>
      <c r="CO18" s="8">
        <v>1249</v>
      </c>
      <c r="CP18" s="8">
        <v>-2693</v>
      </c>
      <c r="CQ18" s="8">
        <v>-550</v>
      </c>
      <c r="CR18" s="8">
        <v>2849</v>
      </c>
      <c r="CS18" s="8">
        <v>7141</v>
      </c>
      <c r="CT18" s="8">
        <v>-114</v>
      </c>
      <c r="CU18" s="8">
        <v>1200</v>
      </c>
      <c r="CV18" s="8">
        <v>171</v>
      </c>
      <c r="CW18" s="8">
        <v>60</v>
      </c>
      <c r="CX18" s="8">
        <v>0</v>
      </c>
      <c r="CY18" s="8">
        <v>0</v>
      </c>
      <c r="CZ18" s="8">
        <v>600</v>
      </c>
      <c r="DA18" s="8">
        <v>-5874</v>
      </c>
      <c r="DB18" s="8">
        <v>9342</v>
      </c>
      <c r="DC18" s="8">
        <v>101</v>
      </c>
      <c r="DD18" s="8">
        <v>322</v>
      </c>
      <c r="DE18" s="8">
        <v>226</v>
      </c>
      <c r="DF18" s="8">
        <v>-1</v>
      </c>
      <c r="DG18" s="8">
        <v>751</v>
      </c>
      <c r="DH18" s="8">
        <v>0</v>
      </c>
      <c r="DI18" s="8">
        <v>1619100</v>
      </c>
    </row>
    <row r="19" spans="1:113" x14ac:dyDescent="0.3">
      <c r="A19">
        <v>500010</v>
      </c>
      <c r="B19" s="2">
        <v>43525</v>
      </c>
      <c r="C19">
        <v>386755</v>
      </c>
      <c r="D19">
        <v>336416</v>
      </c>
      <c r="E19">
        <v>50339</v>
      </c>
      <c r="F19">
        <v>14.96</v>
      </c>
      <c r="I19" s="7" t="s">
        <v>30</v>
      </c>
      <c r="J19" s="8">
        <v>23.852987012987011</v>
      </c>
      <c r="M19" s="7" t="s">
        <v>29</v>
      </c>
      <c r="N19" s="8">
        <v>-4</v>
      </c>
      <c r="O19" s="8">
        <v>60449</v>
      </c>
      <c r="P19" s="8">
        <v>33598</v>
      </c>
      <c r="Q19" s="8">
        <v>50</v>
      </c>
      <c r="R19" s="8">
        <v>-958</v>
      </c>
      <c r="S19" s="8">
        <v>-1117</v>
      </c>
      <c r="T19" s="8">
        <v>521</v>
      </c>
      <c r="U19" s="8">
        <v>387443</v>
      </c>
      <c r="V19" s="8">
        <v>1637</v>
      </c>
      <c r="W19" s="8">
        <v>627</v>
      </c>
      <c r="X19" s="8">
        <v>353</v>
      </c>
      <c r="Y19" s="8">
        <v>273552</v>
      </c>
      <c r="Z19" s="8">
        <v>21</v>
      </c>
      <c r="AA19" s="8">
        <v>-4357</v>
      </c>
      <c r="AB19" s="8">
        <v>149</v>
      </c>
      <c r="AC19" s="8">
        <v>5507</v>
      </c>
      <c r="AD19" s="8">
        <v>38625</v>
      </c>
      <c r="AE19" s="8">
        <v>4425</v>
      </c>
      <c r="AF19" s="8">
        <v>-4086</v>
      </c>
      <c r="AG19" s="8">
        <v>-4334</v>
      </c>
      <c r="AH19" s="8">
        <v>17165</v>
      </c>
      <c r="AI19" s="8">
        <v>40196</v>
      </c>
      <c r="AJ19" s="8">
        <v>85</v>
      </c>
      <c r="AK19" s="8">
        <v>53</v>
      </c>
      <c r="AL19" s="8">
        <v>4487</v>
      </c>
      <c r="AM19" s="8">
        <v>-791</v>
      </c>
      <c r="AN19" s="8">
        <v>-2</v>
      </c>
      <c r="AO19" s="8">
        <v>-2720</v>
      </c>
      <c r="AP19" s="8">
        <v>-12940</v>
      </c>
      <c r="AQ19" s="8">
        <v>-22</v>
      </c>
      <c r="AR19" s="8">
        <v>-8213</v>
      </c>
      <c r="AS19" s="8">
        <v>-3020</v>
      </c>
      <c r="AT19" s="8">
        <v>19</v>
      </c>
      <c r="AU19" s="8">
        <v>10002</v>
      </c>
      <c r="AV19" s="8">
        <v>-36</v>
      </c>
      <c r="AW19" s="8">
        <v>4318</v>
      </c>
      <c r="AX19" s="8">
        <v>34</v>
      </c>
      <c r="AY19" s="8">
        <v>5</v>
      </c>
      <c r="AZ19" s="8">
        <v>-222</v>
      </c>
      <c r="BA19" s="8">
        <v>494</v>
      </c>
      <c r="BB19" s="8">
        <v>359</v>
      </c>
      <c r="BC19" s="8">
        <v>-1630</v>
      </c>
      <c r="BD19" s="8">
        <v>-22</v>
      </c>
      <c r="BE19" s="8">
        <v>186</v>
      </c>
      <c r="BF19" s="8">
        <v>-111</v>
      </c>
      <c r="BG19" s="8">
        <v>7142</v>
      </c>
      <c r="BH19" s="8">
        <v>-162</v>
      </c>
      <c r="BI19" s="8">
        <v>380</v>
      </c>
      <c r="BJ19" s="8">
        <v>5444</v>
      </c>
      <c r="BK19" s="8">
        <v>2227</v>
      </c>
      <c r="BL19" s="8">
        <v>25377</v>
      </c>
      <c r="BM19" s="8">
        <v>564</v>
      </c>
      <c r="BN19" s="8">
        <v>-83</v>
      </c>
      <c r="BO19" s="8">
        <v>-2579</v>
      </c>
      <c r="BP19" s="8">
        <v>15371</v>
      </c>
      <c r="BQ19" s="8">
        <v>-32</v>
      </c>
      <c r="BR19" s="8">
        <v>118158</v>
      </c>
      <c r="BS19" s="8">
        <v>1343</v>
      </c>
      <c r="BT19" s="8">
        <v>149128</v>
      </c>
      <c r="BU19" s="8">
        <v>33477</v>
      </c>
      <c r="BV19" s="8">
        <v>170141</v>
      </c>
      <c r="BW19" s="8">
        <v>-521</v>
      </c>
      <c r="BX19" s="8">
        <v>-16408</v>
      </c>
      <c r="BY19" s="8">
        <v>3648</v>
      </c>
      <c r="BZ19" s="8">
        <v>-160</v>
      </c>
      <c r="CA19" s="8">
        <v>-432</v>
      </c>
      <c r="CB19" s="8">
        <v>6893</v>
      </c>
      <c r="CC19" s="8">
        <v>47591</v>
      </c>
      <c r="CD19" s="8">
        <v>71628</v>
      </c>
      <c r="CE19" s="8">
        <v>-1</v>
      </c>
      <c r="CF19" s="8">
        <v>-115</v>
      </c>
      <c r="CG19" s="8">
        <v>-10420</v>
      </c>
      <c r="CH19" s="8">
        <v>23</v>
      </c>
      <c r="CI19" s="8">
        <v>499</v>
      </c>
      <c r="CJ19" s="8">
        <v>-283</v>
      </c>
      <c r="CK19" s="8">
        <v>-2603</v>
      </c>
      <c r="CL19" s="8">
        <v>-8536</v>
      </c>
      <c r="CM19" s="8">
        <v>9716</v>
      </c>
      <c r="CN19" s="8">
        <v>2</v>
      </c>
      <c r="CO19" s="8">
        <v>32718</v>
      </c>
      <c r="CP19" s="8">
        <v>-3686</v>
      </c>
      <c r="CQ19" s="8">
        <v>-2370</v>
      </c>
      <c r="CR19" s="8">
        <v>6505</v>
      </c>
      <c r="CS19" s="8">
        <v>7018</v>
      </c>
      <c r="CT19" s="8">
        <v>38</v>
      </c>
      <c r="CU19" s="8">
        <v>0</v>
      </c>
      <c r="CV19" s="8">
        <v>497</v>
      </c>
      <c r="CW19" s="8">
        <v>254</v>
      </c>
      <c r="CX19" s="8">
        <v>-230</v>
      </c>
      <c r="CY19" s="8">
        <v>0</v>
      </c>
      <c r="CZ19" s="8">
        <v>0</v>
      </c>
      <c r="DA19" s="8">
        <v>-4</v>
      </c>
      <c r="DB19" s="8">
        <v>28623</v>
      </c>
      <c r="DC19" s="8">
        <v>506</v>
      </c>
      <c r="DD19" s="8">
        <v>5087</v>
      </c>
      <c r="DE19" s="8">
        <v>-188</v>
      </c>
      <c r="DF19" s="8">
        <v>-2</v>
      </c>
      <c r="DG19" s="8">
        <v>-425</v>
      </c>
      <c r="DH19" s="8">
        <v>0</v>
      </c>
      <c r="DI19" s="8">
        <v>1540533</v>
      </c>
    </row>
    <row r="20" spans="1:113" x14ac:dyDescent="0.3">
      <c r="A20">
        <v>500010</v>
      </c>
      <c r="B20" s="2">
        <v>43891</v>
      </c>
      <c r="C20">
        <v>425368</v>
      </c>
      <c r="D20">
        <v>386755</v>
      </c>
      <c r="E20">
        <v>38613</v>
      </c>
      <c r="F20">
        <v>9.98</v>
      </c>
      <c r="I20" s="7" t="s">
        <v>17</v>
      </c>
      <c r="J20" s="8">
        <v>63.486909469302809</v>
      </c>
      <c r="M20" s="7" t="s">
        <v>30</v>
      </c>
      <c r="N20" s="8"/>
      <c r="O20" s="8">
        <v>74805</v>
      </c>
      <c r="P20" s="8">
        <v>51458</v>
      </c>
      <c r="Q20" s="8">
        <v>-53</v>
      </c>
      <c r="R20" s="8">
        <v>-253</v>
      </c>
      <c r="S20" s="8">
        <v>-351</v>
      </c>
      <c r="T20" s="8">
        <v>144</v>
      </c>
      <c r="U20" s="8"/>
      <c r="V20" s="8">
        <v>2092</v>
      </c>
      <c r="W20" s="8"/>
      <c r="X20" s="8">
        <v>-2037</v>
      </c>
      <c r="Y20" s="8"/>
      <c r="Z20" s="8">
        <v>-37</v>
      </c>
      <c r="AA20" s="8">
        <v>9037</v>
      </c>
      <c r="AB20" s="8">
        <v>2825</v>
      </c>
      <c r="AC20" s="8">
        <v>8645</v>
      </c>
      <c r="AD20" s="8"/>
      <c r="AE20" s="8">
        <v>-261</v>
      </c>
      <c r="AF20" s="8">
        <v>13047</v>
      </c>
      <c r="AG20" s="8">
        <v>28306</v>
      </c>
      <c r="AH20" s="8"/>
      <c r="AI20" s="8">
        <v>15976</v>
      </c>
      <c r="AJ20" s="8">
        <v>-25</v>
      </c>
      <c r="AK20" s="8">
        <v>602</v>
      </c>
      <c r="AL20" s="8">
        <v>1728</v>
      </c>
      <c r="AM20" s="8"/>
      <c r="AN20" s="8"/>
      <c r="AO20" s="8">
        <v>1440</v>
      </c>
      <c r="AP20" s="8">
        <v>9332</v>
      </c>
      <c r="AQ20" s="8">
        <v>-21</v>
      </c>
      <c r="AR20" s="8">
        <v>-4642</v>
      </c>
      <c r="AS20" s="8">
        <v>14642</v>
      </c>
      <c r="AT20" s="8">
        <v>-20</v>
      </c>
      <c r="AU20" s="8">
        <v>4842</v>
      </c>
      <c r="AV20" s="8"/>
      <c r="AW20" s="8">
        <v>-12336</v>
      </c>
      <c r="AX20" s="8">
        <v>176</v>
      </c>
      <c r="AY20" s="8"/>
      <c r="AZ20" s="8">
        <v>188</v>
      </c>
      <c r="BA20" s="8">
        <v>346</v>
      </c>
      <c r="BB20" s="8">
        <v>516</v>
      </c>
      <c r="BC20" s="8">
        <v>-749</v>
      </c>
      <c r="BD20" s="8">
        <v>57</v>
      </c>
      <c r="BE20" s="8">
        <v>823</v>
      </c>
      <c r="BF20" s="8">
        <v>180</v>
      </c>
      <c r="BG20" s="8">
        <v>-126</v>
      </c>
      <c r="BH20" s="8"/>
      <c r="BI20" s="8">
        <v>175</v>
      </c>
      <c r="BJ20" s="8">
        <v>28184</v>
      </c>
      <c r="BK20" s="8">
        <v>-2807</v>
      </c>
      <c r="BL20" s="8">
        <v>11596</v>
      </c>
      <c r="BM20" s="8">
        <v>351</v>
      </c>
      <c r="BN20" s="8">
        <v>-215</v>
      </c>
      <c r="BO20" s="8">
        <v>5596</v>
      </c>
      <c r="BP20" s="8">
        <v>16957</v>
      </c>
      <c r="BQ20" s="8">
        <v>129</v>
      </c>
      <c r="BR20" s="8"/>
      <c r="BS20" s="8">
        <v>8600</v>
      </c>
      <c r="BT20" s="8"/>
      <c r="BU20" s="8"/>
      <c r="BV20" s="8"/>
      <c r="BW20" s="8">
        <v>-1557</v>
      </c>
      <c r="BX20" s="8">
        <v>-456</v>
      </c>
      <c r="BY20" s="8">
        <v>-2515</v>
      </c>
      <c r="BZ20" s="8">
        <v>-574</v>
      </c>
      <c r="CA20" s="8">
        <v>-422</v>
      </c>
      <c r="CB20" s="8">
        <v>56342</v>
      </c>
      <c r="CC20" s="8"/>
      <c r="CD20" s="8"/>
      <c r="CE20" s="8">
        <v>-1</v>
      </c>
      <c r="CF20" s="8">
        <v>821</v>
      </c>
      <c r="CG20" s="8">
        <v>-241</v>
      </c>
      <c r="CH20" s="8">
        <v>-130</v>
      </c>
      <c r="CI20" s="8">
        <v>10919</v>
      </c>
      <c r="CJ20" s="8">
        <v>122</v>
      </c>
      <c r="CK20" s="8">
        <v>-848</v>
      </c>
      <c r="CL20" s="8">
        <v>-8035</v>
      </c>
      <c r="CM20" s="8"/>
      <c r="CN20" s="8">
        <v>1</v>
      </c>
      <c r="CO20" s="8">
        <v>51086</v>
      </c>
      <c r="CP20" s="8">
        <v>-6394</v>
      </c>
      <c r="CQ20" s="8">
        <v>817</v>
      </c>
      <c r="CR20" s="8"/>
      <c r="CS20" s="8">
        <v>7976</v>
      </c>
      <c r="CT20" s="8">
        <v>705</v>
      </c>
      <c r="CU20" s="8">
        <v>0</v>
      </c>
      <c r="CV20" s="8"/>
      <c r="CW20" s="8">
        <v>-4</v>
      </c>
      <c r="CX20" s="8">
        <v>-220</v>
      </c>
      <c r="CY20" s="8">
        <v>0</v>
      </c>
      <c r="CZ20" s="8">
        <v>350</v>
      </c>
      <c r="DA20" s="8">
        <v>-47</v>
      </c>
      <c r="DB20" s="8">
        <v>1391</v>
      </c>
      <c r="DC20" s="8">
        <v>387</v>
      </c>
      <c r="DD20" s="8">
        <v>8128</v>
      </c>
      <c r="DE20" s="8">
        <v>-224</v>
      </c>
      <c r="DF20" s="8">
        <v>437</v>
      </c>
      <c r="DG20" s="8">
        <v>-367</v>
      </c>
      <c r="DH20" s="8">
        <v>0</v>
      </c>
      <c r="DI20" s="8">
        <v>406309</v>
      </c>
    </row>
    <row r="21" spans="1:113" x14ac:dyDescent="0.3">
      <c r="A21">
        <v>500010</v>
      </c>
      <c r="B21" s="2">
        <v>44256</v>
      </c>
      <c r="C21">
        <v>447011</v>
      </c>
      <c r="D21">
        <v>425368</v>
      </c>
      <c r="E21">
        <v>21643</v>
      </c>
      <c r="F21">
        <v>5.09</v>
      </c>
      <c r="M21" s="7" t="s">
        <v>17</v>
      </c>
      <c r="N21" s="8">
        <v>33</v>
      </c>
      <c r="O21" s="8">
        <v>439786</v>
      </c>
      <c r="P21" s="8">
        <v>190035</v>
      </c>
      <c r="Q21" s="8">
        <v>-1</v>
      </c>
      <c r="R21" s="8">
        <v>774</v>
      </c>
      <c r="S21" s="8">
        <v>-1028</v>
      </c>
      <c r="T21" s="8">
        <v>106</v>
      </c>
      <c r="U21" s="8">
        <v>2963889</v>
      </c>
      <c r="V21" s="8">
        <v>9361</v>
      </c>
      <c r="W21" s="8">
        <v>-16527</v>
      </c>
      <c r="X21" s="8">
        <v>-1887</v>
      </c>
      <c r="Y21" s="8">
        <v>1512096</v>
      </c>
      <c r="Z21" s="8">
        <v>284</v>
      </c>
      <c r="AA21" s="8">
        <v>11881</v>
      </c>
      <c r="AB21" s="8">
        <v>8299</v>
      </c>
      <c r="AC21" s="8">
        <v>60944</v>
      </c>
      <c r="AD21" s="8">
        <v>299580</v>
      </c>
      <c r="AE21" s="8">
        <v>4163</v>
      </c>
      <c r="AF21" s="8">
        <v>62887</v>
      </c>
      <c r="AG21" s="8">
        <v>96001</v>
      </c>
      <c r="AH21" s="8">
        <v>143648</v>
      </c>
      <c r="AI21" s="8">
        <v>242687</v>
      </c>
      <c r="AJ21" s="8">
        <v>70</v>
      </c>
      <c r="AK21" s="8">
        <v>647</v>
      </c>
      <c r="AL21" s="8">
        <v>19063</v>
      </c>
      <c r="AM21" s="8">
        <v>3511</v>
      </c>
      <c r="AN21" s="8">
        <v>406</v>
      </c>
      <c r="AO21" s="8">
        <v>24910</v>
      </c>
      <c r="AP21" s="8">
        <v>24996</v>
      </c>
      <c r="AQ21" s="8">
        <v>93</v>
      </c>
      <c r="AR21" s="8">
        <v>69082</v>
      </c>
      <c r="AS21" s="8">
        <v>69126</v>
      </c>
      <c r="AT21" s="8">
        <v>-254</v>
      </c>
      <c r="AU21" s="8">
        <v>39223</v>
      </c>
      <c r="AV21" s="8">
        <v>-24</v>
      </c>
      <c r="AW21" s="8">
        <v>86964</v>
      </c>
      <c r="AX21" s="8">
        <v>1219</v>
      </c>
      <c r="AY21" s="8">
        <v>-700</v>
      </c>
      <c r="AZ21" s="8">
        <v>684</v>
      </c>
      <c r="BA21" s="8">
        <v>1592</v>
      </c>
      <c r="BB21" s="8">
        <v>2393</v>
      </c>
      <c r="BC21" s="8">
        <v>-664</v>
      </c>
      <c r="BD21" s="8">
        <v>188</v>
      </c>
      <c r="BE21" s="8">
        <v>3250</v>
      </c>
      <c r="BF21" s="8">
        <v>245</v>
      </c>
      <c r="BG21" s="8">
        <v>11571</v>
      </c>
      <c r="BH21" s="8">
        <v>3041</v>
      </c>
      <c r="BI21" s="8">
        <v>771</v>
      </c>
      <c r="BJ21" s="8">
        <v>85914</v>
      </c>
      <c r="BK21" s="8">
        <v>20550</v>
      </c>
      <c r="BL21" s="8">
        <v>-16279</v>
      </c>
      <c r="BM21" s="8">
        <v>4827</v>
      </c>
      <c r="BN21" s="8">
        <v>-804</v>
      </c>
      <c r="BO21" s="8">
        <v>6565</v>
      </c>
      <c r="BP21" s="8">
        <v>68962</v>
      </c>
      <c r="BQ21" s="8">
        <v>-177</v>
      </c>
      <c r="BR21" s="8">
        <v>769117</v>
      </c>
      <c r="BS21" s="8">
        <v>6310</v>
      </c>
      <c r="BT21" s="8">
        <v>809721</v>
      </c>
      <c r="BU21" s="8">
        <v>289961</v>
      </c>
      <c r="BV21" s="8">
        <v>766633</v>
      </c>
      <c r="BW21" s="8">
        <v>2607</v>
      </c>
      <c r="BX21" s="8">
        <v>-4045</v>
      </c>
      <c r="BY21" s="8">
        <v>12008</v>
      </c>
      <c r="BZ21" s="8">
        <v>-747</v>
      </c>
      <c r="CA21" s="8">
        <v>-7981</v>
      </c>
      <c r="CB21" s="8">
        <v>156997</v>
      </c>
      <c r="CC21" s="8">
        <v>786552</v>
      </c>
      <c r="CD21" s="8">
        <v>790118</v>
      </c>
      <c r="CE21" s="8">
        <v>-52</v>
      </c>
      <c r="CF21" s="8">
        <v>-174</v>
      </c>
      <c r="CG21" s="8">
        <v>5167</v>
      </c>
      <c r="CH21" s="8">
        <v>7561</v>
      </c>
      <c r="CI21" s="8">
        <v>161822</v>
      </c>
      <c r="CJ21" s="8">
        <v>1613</v>
      </c>
      <c r="CK21" s="8">
        <v>-21732</v>
      </c>
      <c r="CL21" s="8">
        <v>72306</v>
      </c>
      <c r="CM21" s="8">
        <v>41707</v>
      </c>
      <c r="CN21" s="8">
        <v>-26</v>
      </c>
      <c r="CO21" s="8">
        <v>202064</v>
      </c>
      <c r="CP21" s="8">
        <v>3750</v>
      </c>
      <c r="CQ21" s="8">
        <v>2804</v>
      </c>
      <c r="CR21" s="8">
        <v>33600</v>
      </c>
      <c r="CS21" s="8">
        <v>43838</v>
      </c>
      <c r="CT21" s="8">
        <v>1272</v>
      </c>
      <c r="CU21" s="8">
        <v>1200</v>
      </c>
      <c r="CV21" s="8">
        <v>1944</v>
      </c>
      <c r="CW21" s="8">
        <v>262</v>
      </c>
      <c r="CX21" s="8">
        <v>35</v>
      </c>
      <c r="CY21" s="8">
        <v>0</v>
      </c>
      <c r="CZ21" s="8">
        <v>950</v>
      </c>
      <c r="DA21" s="8">
        <v>-3</v>
      </c>
      <c r="DB21" s="8">
        <v>49876</v>
      </c>
      <c r="DC21" s="8">
        <v>77</v>
      </c>
      <c r="DD21" s="8">
        <v>28307</v>
      </c>
      <c r="DE21" s="8">
        <v>-185</v>
      </c>
      <c r="DF21" s="8">
        <v>495</v>
      </c>
      <c r="DG21" s="8">
        <v>311</v>
      </c>
      <c r="DH21" s="8">
        <v>0</v>
      </c>
      <c r="DI21" s="8">
        <v>11574012</v>
      </c>
    </row>
    <row r="22" spans="1:113" x14ac:dyDescent="0.3">
      <c r="A22">
        <v>500010</v>
      </c>
      <c r="B22" s="2">
        <v>44621</v>
      </c>
      <c r="C22">
        <v>507460</v>
      </c>
      <c r="D22">
        <v>447011</v>
      </c>
      <c r="E22">
        <v>60449</v>
      </c>
      <c r="F22">
        <v>13.52</v>
      </c>
    </row>
    <row r="23" spans="1:113" x14ac:dyDescent="0.3">
      <c r="A23">
        <v>500010</v>
      </c>
      <c r="B23" s="2">
        <v>44986</v>
      </c>
      <c r="C23">
        <v>582265</v>
      </c>
      <c r="D23">
        <v>507460</v>
      </c>
      <c r="E23">
        <v>74805</v>
      </c>
      <c r="F23">
        <v>14.74</v>
      </c>
    </row>
    <row r="24" spans="1:113" x14ac:dyDescent="0.3">
      <c r="A24">
        <v>500034</v>
      </c>
      <c r="B24" s="2">
        <v>42430</v>
      </c>
      <c r="C24">
        <v>37025</v>
      </c>
      <c r="D24">
        <v>26655</v>
      </c>
      <c r="E24">
        <v>10370</v>
      </c>
      <c r="F24">
        <v>38.9</v>
      </c>
    </row>
    <row r="25" spans="1:113" x14ac:dyDescent="0.3">
      <c r="A25">
        <v>500034</v>
      </c>
      <c r="B25" s="2">
        <v>42795</v>
      </c>
      <c r="C25">
        <v>49250</v>
      </c>
      <c r="D25">
        <v>37025</v>
      </c>
      <c r="E25">
        <v>12225</v>
      </c>
      <c r="F25">
        <v>33.020000000000003</v>
      </c>
    </row>
    <row r="26" spans="1:113" x14ac:dyDescent="0.3">
      <c r="A26">
        <v>500034</v>
      </c>
      <c r="B26" s="2">
        <v>43160</v>
      </c>
      <c r="C26">
        <v>66557</v>
      </c>
      <c r="D26">
        <v>49250</v>
      </c>
      <c r="E26">
        <v>17307</v>
      </c>
      <c r="F26">
        <v>35.14</v>
      </c>
    </row>
    <row r="27" spans="1:113" x14ac:dyDescent="0.3">
      <c r="A27">
        <v>500034</v>
      </c>
      <c r="B27" s="2">
        <v>43525</v>
      </c>
      <c r="C27">
        <v>101588</v>
      </c>
      <c r="D27">
        <v>66557</v>
      </c>
      <c r="E27">
        <v>35031</v>
      </c>
      <c r="F27">
        <v>52.63</v>
      </c>
    </row>
    <row r="28" spans="1:113" x14ac:dyDescent="0.3">
      <c r="A28">
        <v>500034</v>
      </c>
      <c r="B28" s="2">
        <v>43891</v>
      </c>
      <c r="C28">
        <v>129806</v>
      </c>
      <c r="D28">
        <v>101588</v>
      </c>
      <c r="E28">
        <v>28218</v>
      </c>
      <c r="F28">
        <v>27.78</v>
      </c>
    </row>
    <row r="29" spans="1:113" x14ac:dyDescent="0.3">
      <c r="A29">
        <v>500034</v>
      </c>
      <c r="B29" s="2">
        <v>44256</v>
      </c>
      <c r="C29">
        <v>131634</v>
      </c>
      <c r="D29">
        <v>129806</v>
      </c>
      <c r="E29">
        <v>1828</v>
      </c>
      <c r="F29">
        <v>1.41</v>
      </c>
    </row>
    <row r="30" spans="1:113" x14ac:dyDescent="0.3">
      <c r="A30">
        <v>500034</v>
      </c>
      <c r="B30" s="2">
        <v>44621</v>
      </c>
      <c r="C30">
        <v>165232</v>
      </c>
      <c r="D30">
        <v>131634</v>
      </c>
      <c r="E30">
        <v>33598</v>
      </c>
      <c r="F30">
        <v>25.52</v>
      </c>
    </row>
    <row r="31" spans="1:113" x14ac:dyDescent="0.3">
      <c r="A31">
        <v>500034</v>
      </c>
      <c r="B31" s="2">
        <v>44986</v>
      </c>
      <c r="C31">
        <v>216690</v>
      </c>
      <c r="D31">
        <v>165232</v>
      </c>
      <c r="E31">
        <v>51458</v>
      </c>
      <c r="F31">
        <v>31.14</v>
      </c>
    </row>
    <row r="32" spans="1:113" x14ac:dyDescent="0.3">
      <c r="A32">
        <v>500049</v>
      </c>
      <c r="B32" s="2">
        <v>41334</v>
      </c>
      <c r="C32">
        <v>1</v>
      </c>
      <c r="D32">
        <v>1</v>
      </c>
      <c r="E32">
        <v>0</v>
      </c>
      <c r="F32">
        <v>0</v>
      </c>
    </row>
    <row r="33" spans="1:6" x14ac:dyDescent="0.3">
      <c r="A33">
        <v>500049</v>
      </c>
      <c r="B33" s="2">
        <v>41699</v>
      </c>
      <c r="C33">
        <v>0</v>
      </c>
      <c r="D33">
        <v>1</v>
      </c>
      <c r="E33">
        <v>-1</v>
      </c>
      <c r="F33">
        <v>-100</v>
      </c>
    </row>
    <row r="34" spans="1:6" x14ac:dyDescent="0.3">
      <c r="A34">
        <v>500049</v>
      </c>
      <c r="B34" s="2">
        <v>42064</v>
      </c>
      <c r="C34">
        <v>25</v>
      </c>
      <c r="D34">
        <v>0</v>
      </c>
      <c r="E34">
        <v>25</v>
      </c>
      <c r="F34" t="s">
        <v>8</v>
      </c>
    </row>
    <row r="35" spans="1:6" x14ac:dyDescent="0.3">
      <c r="A35">
        <v>500049</v>
      </c>
      <c r="B35" s="2">
        <v>42430</v>
      </c>
      <c r="C35">
        <v>28</v>
      </c>
      <c r="D35">
        <v>25</v>
      </c>
      <c r="E35">
        <v>3</v>
      </c>
      <c r="F35">
        <v>12</v>
      </c>
    </row>
    <row r="36" spans="1:6" x14ac:dyDescent="0.3">
      <c r="A36">
        <v>500049</v>
      </c>
      <c r="B36" s="2">
        <v>42795</v>
      </c>
      <c r="C36">
        <v>64</v>
      </c>
      <c r="D36">
        <v>28</v>
      </c>
      <c r="E36">
        <v>36</v>
      </c>
      <c r="F36">
        <v>128.57</v>
      </c>
    </row>
    <row r="37" spans="1:6" x14ac:dyDescent="0.3">
      <c r="A37">
        <v>500049</v>
      </c>
      <c r="B37" s="2">
        <v>43160</v>
      </c>
      <c r="C37">
        <v>80</v>
      </c>
      <c r="D37">
        <v>64</v>
      </c>
      <c r="E37">
        <v>16</v>
      </c>
      <c r="F37">
        <v>25</v>
      </c>
    </row>
    <row r="38" spans="1:6" x14ac:dyDescent="0.3">
      <c r="A38">
        <v>500049</v>
      </c>
      <c r="B38" s="2">
        <v>43525</v>
      </c>
      <c r="C38">
        <v>34</v>
      </c>
      <c r="D38">
        <v>80</v>
      </c>
      <c r="E38">
        <v>-46</v>
      </c>
      <c r="F38">
        <v>-57.5</v>
      </c>
    </row>
    <row r="39" spans="1:6" x14ac:dyDescent="0.3">
      <c r="A39">
        <v>500049</v>
      </c>
      <c r="B39" s="2">
        <v>43891</v>
      </c>
      <c r="C39">
        <v>8</v>
      </c>
      <c r="D39">
        <v>34</v>
      </c>
      <c r="E39">
        <v>-26</v>
      </c>
      <c r="F39">
        <v>-76.47</v>
      </c>
    </row>
    <row r="40" spans="1:6" x14ac:dyDescent="0.3">
      <c r="A40">
        <v>500049</v>
      </c>
      <c r="B40" s="2">
        <v>44256</v>
      </c>
      <c r="C40">
        <v>3</v>
      </c>
      <c r="D40">
        <v>8</v>
      </c>
      <c r="E40">
        <v>-5</v>
      </c>
      <c r="F40">
        <v>-62.5</v>
      </c>
    </row>
    <row r="41" spans="1:6" x14ac:dyDescent="0.3">
      <c r="A41">
        <v>500049</v>
      </c>
      <c r="B41" s="2">
        <v>44621</v>
      </c>
      <c r="C41">
        <v>53</v>
      </c>
      <c r="D41">
        <v>3</v>
      </c>
      <c r="E41">
        <v>50</v>
      </c>
      <c r="F41">
        <v>1666.67</v>
      </c>
    </row>
    <row r="42" spans="1:6" x14ac:dyDescent="0.3">
      <c r="A42">
        <v>500049</v>
      </c>
      <c r="B42" s="2">
        <v>44986</v>
      </c>
      <c r="C42">
        <v>0</v>
      </c>
      <c r="D42">
        <v>53</v>
      </c>
      <c r="E42">
        <v>-53</v>
      </c>
      <c r="F42">
        <v>-100</v>
      </c>
    </row>
    <row r="43" spans="1:6" x14ac:dyDescent="0.3">
      <c r="A43">
        <v>500087</v>
      </c>
      <c r="B43" s="2">
        <v>41334</v>
      </c>
      <c r="C43">
        <v>967</v>
      </c>
      <c r="D43">
        <v>29</v>
      </c>
      <c r="E43">
        <v>938</v>
      </c>
      <c r="F43">
        <v>3234.48</v>
      </c>
    </row>
    <row r="44" spans="1:6" x14ac:dyDescent="0.3">
      <c r="A44">
        <v>500087</v>
      </c>
      <c r="B44" s="2">
        <v>41699</v>
      </c>
      <c r="C44">
        <v>1248</v>
      </c>
      <c r="D44">
        <v>967</v>
      </c>
      <c r="E44">
        <v>281</v>
      </c>
      <c r="F44">
        <v>29.06</v>
      </c>
    </row>
    <row r="45" spans="1:6" x14ac:dyDescent="0.3">
      <c r="A45">
        <v>500087</v>
      </c>
      <c r="B45" s="2">
        <v>42064</v>
      </c>
      <c r="C45">
        <v>1703</v>
      </c>
      <c r="D45">
        <v>1248</v>
      </c>
      <c r="E45">
        <v>455</v>
      </c>
      <c r="F45">
        <v>36.46</v>
      </c>
    </row>
    <row r="46" spans="1:6" x14ac:dyDescent="0.3">
      <c r="A46">
        <v>500087</v>
      </c>
      <c r="B46" s="2">
        <v>42430</v>
      </c>
      <c r="C46">
        <v>5202</v>
      </c>
      <c r="D46">
        <v>1703</v>
      </c>
      <c r="E46">
        <v>3499</v>
      </c>
      <c r="F46">
        <v>205.46</v>
      </c>
    </row>
    <row r="47" spans="1:6" x14ac:dyDescent="0.3">
      <c r="A47">
        <v>500087</v>
      </c>
      <c r="B47" s="2">
        <v>42795</v>
      </c>
      <c r="C47">
        <v>4113</v>
      </c>
      <c r="D47">
        <v>5202</v>
      </c>
      <c r="E47">
        <v>-1089</v>
      </c>
      <c r="F47">
        <v>-20.93</v>
      </c>
    </row>
    <row r="48" spans="1:6" x14ac:dyDescent="0.3">
      <c r="A48">
        <v>500087</v>
      </c>
      <c r="B48" s="2">
        <v>43160</v>
      </c>
      <c r="C48">
        <v>4098</v>
      </c>
      <c r="D48">
        <v>4113</v>
      </c>
      <c r="E48">
        <v>-15</v>
      </c>
      <c r="F48">
        <v>-0.36</v>
      </c>
    </row>
    <row r="49" spans="1:6" x14ac:dyDescent="0.3">
      <c r="A49">
        <v>500087</v>
      </c>
      <c r="B49" s="2">
        <v>43525</v>
      </c>
      <c r="C49">
        <v>4316</v>
      </c>
      <c r="D49">
        <v>4098</v>
      </c>
      <c r="E49">
        <v>218</v>
      </c>
      <c r="F49">
        <v>5.32</v>
      </c>
    </row>
    <row r="50" spans="1:6" x14ac:dyDescent="0.3">
      <c r="A50">
        <v>500087</v>
      </c>
      <c r="B50" s="2">
        <v>43891</v>
      </c>
      <c r="C50">
        <v>2816</v>
      </c>
      <c r="D50">
        <v>4316</v>
      </c>
      <c r="E50">
        <v>-1500</v>
      </c>
      <c r="F50">
        <v>-34.75</v>
      </c>
    </row>
    <row r="51" spans="1:6" x14ac:dyDescent="0.3">
      <c r="A51">
        <v>500087</v>
      </c>
      <c r="B51" s="2">
        <v>44256</v>
      </c>
      <c r="C51">
        <v>2014</v>
      </c>
      <c r="D51">
        <v>2816</v>
      </c>
      <c r="E51">
        <v>-802</v>
      </c>
      <c r="F51">
        <v>-28.48</v>
      </c>
    </row>
    <row r="52" spans="1:6" x14ac:dyDescent="0.3">
      <c r="A52">
        <v>500087</v>
      </c>
      <c r="B52" s="2">
        <v>44621</v>
      </c>
      <c r="C52">
        <v>1056</v>
      </c>
      <c r="D52">
        <v>2014</v>
      </c>
      <c r="E52">
        <v>-958</v>
      </c>
      <c r="F52">
        <v>-47.57</v>
      </c>
    </row>
    <row r="53" spans="1:6" x14ac:dyDescent="0.3">
      <c r="A53">
        <v>500087</v>
      </c>
      <c r="B53" s="2">
        <v>44986</v>
      </c>
      <c r="C53">
        <v>803</v>
      </c>
      <c r="D53">
        <v>1056</v>
      </c>
      <c r="E53">
        <v>-253</v>
      </c>
      <c r="F53">
        <v>-23.96</v>
      </c>
    </row>
    <row r="54" spans="1:6" x14ac:dyDescent="0.3">
      <c r="A54">
        <v>500093</v>
      </c>
      <c r="B54" s="2">
        <v>41334</v>
      </c>
      <c r="C54">
        <v>2029</v>
      </c>
      <c r="D54">
        <v>1044</v>
      </c>
      <c r="E54">
        <v>985</v>
      </c>
      <c r="F54">
        <v>94.35</v>
      </c>
    </row>
    <row r="55" spans="1:6" x14ac:dyDescent="0.3">
      <c r="A55">
        <v>500093</v>
      </c>
      <c r="B55" s="2">
        <v>41699</v>
      </c>
      <c r="C55">
        <v>2396</v>
      </c>
      <c r="D55">
        <v>2029</v>
      </c>
      <c r="E55">
        <v>367</v>
      </c>
      <c r="F55">
        <v>18.09</v>
      </c>
    </row>
    <row r="56" spans="1:6" x14ac:dyDescent="0.3">
      <c r="A56">
        <v>500093</v>
      </c>
      <c r="B56" s="2">
        <v>42064</v>
      </c>
      <c r="C56">
        <v>2092</v>
      </c>
      <c r="D56">
        <v>2396</v>
      </c>
      <c r="E56">
        <v>-304</v>
      </c>
      <c r="F56">
        <v>-12.69</v>
      </c>
    </row>
    <row r="57" spans="1:6" x14ac:dyDescent="0.3">
      <c r="A57">
        <v>500093</v>
      </c>
      <c r="B57" s="2">
        <v>42430</v>
      </c>
      <c r="C57">
        <v>1528</v>
      </c>
      <c r="D57">
        <v>2092</v>
      </c>
      <c r="E57">
        <v>-564</v>
      </c>
      <c r="F57">
        <v>-26.96</v>
      </c>
    </row>
    <row r="58" spans="1:6" x14ac:dyDescent="0.3">
      <c r="A58">
        <v>500093</v>
      </c>
      <c r="B58" s="2">
        <v>42795</v>
      </c>
      <c r="C58">
        <v>1502</v>
      </c>
      <c r="D58">
        <v>1528</v>
      </c>
      <c r="E58">
        <v>-26</v>
      </c>
      <c r="F58">
        <v>-1.7</v>
      </c>
    </row>
    <row r="59" spans="1:6" x14ac:dyDescent="0.3">
      <c r="A59">
        <v>500093</v>
      </c>
      <c r="B59" s="2">
        <v>43160</v>
      </c>
      <c r="C59">
        <v>3041</v>
      </c>
      <c r="D59">
        <v>1502</v>
      </c>
      <c r="E59">
        <v>1539</v>
      </c>
      <c r="F59">
        <v>102.46</v>
      </c>
    </row>
    <row r="60" spans="1:6" x14ac:dyDescent="0.3">
      <c r="A60">
        <v>500093</v>
      </c>
      <c r="B60" s="2">
        <v>43525</v>
      </c>
      <c r="C60">
        <v>3297</v>
      </c>
      <c r="D60">
        <v>3041</v>
      </c>
      <c r="E60">
        <v>256</v>
      </c>
      <c r="F60">
        <v>8.42</v>
      </c>
    </row>
    <row r="61" spans="1:6" x14ac:dyDescent="0.3">
      <c r="A61">
        <v>500093</v>
      </c>
      <c r="B61" s="2">
        <v>43891</v>
      </c>
      <c r="C61">
        <v>2757</v>
      </c>
      <c r="D61">
        <v>3297</v>
      </c>
      <c r="E61">
        <v>-540</v>
      </c>
      <c r="F61">
        <v>-16.38</v>
      </c>
    </row>
    <row r="62" spans="1:6" x14ac:dyDescent="0.3">
      <c r="A62">
        <v>500093</v>
      </c>
      <c r="B62" s="2">
        <v>44256</v>
      </c>
      <c r="C62">
        <v>1484</v>
      </c>
      <c r="D62">
        <v>2757</v>
      </c>
      <c r="E62">
        <v>-1273</v>
      </c>
      <c r="F62">
        <v>-46.17</v>
      </c>
    </row>
    <row r="63" spans="1:6" x14ac:dyDescent="0.3">
      <c r="A63">
        <v>500093</v>
      </c>
      <c r="B63" s="2">
        <v>44621</v>
      </c>
      <c r="C63">
        <v>367</v>
      </c>
      <c r="D63">
        <v>1484</v>
      </c>
      <c r="E63">
        <v>-1117</v>
      </c>
      <c r="F63">
        <v>-75.27</v>
      </c>
    </row>
    <row r="64" spans="1:6" x14ac:dyDescent="0.3">
      <c r="A64">
        <v>500093</v>
      </c>
      <c r="B64" s="2">
        <v>44986</v>
      </c>
      <c r="C64">
        <v>16</v>
      </c>
      <c r="D64">
        <v>367</v>
      </c>
      <c r="E64">
        <v>-351</v>
      </c>
      <c r="F64">
        <v>-95.64</v>
      </c>
    </row>
    <row r="65" spans="1:6" x14ac:dyDescent="0.3">
      <c r="A65">
        <v>500096</v>
      </c>
      <c r="B65" s="2">
        <v>41334</v>
      </c>
      <c r="C65">
        <v>1151</v>
      </c>
      <c r="D65">
        <v>1068</v>
      </c>
      <c r="E65">
        <v>83</v>
      </c>
      <c r="F65">
        <v>7.77</v>
      </c>
    </row>
    <row r="66" spans="1:6" x14ac:dyDescent="0.3">
      <c r="A66">
        <v>500096</v>
      </c>
      <c r="B66" s="2">
        <v>41699</v>
      </c>
      <c r="C66">
        <v>708</v>
      </c>
      <c r="D66">
        <v>1151</v>
      </c>
      <c r="E66">
        <v>-443</v>
      </c>
      <c r="F66">
        <v>-38.49</v>
      </c>
    </row>
    <row r="67" spans="1:6" x14ac:dyDescent="0.3">
      <c r="A67">
        <v>500096</v>
      </c>
      <c r="B67" s="2">
        <v>42064</v>
      </c>
      <c r="C67">
        <v>734</v>
      </c>
      <c r="D67">
        <v>708</v>
      </c>
      <c r="E67">
        <v>26</v>
      </c>
      <c r="F67">
        <v>3.67</v>
      </c>
    </row>
    <row r="68" spans="1:6" x14ac:dyDescent="0.3">
      <c r="A68">
        <v>500096</v>
      </c>
      <c r="B68" s="2">
        <v>42430</v>
      </c>
      <c r="C68">
        <v>805</v>
      </c>
      <c r="D68">
        <v>734</v>
      </c>
      <c r="E68">
        <v>71</v>
      </c>
      <c r="F68">
        <v>9.67</v>
      </c>
    </row>
    <row r="69" spans="1:6" x14ac:dyDescent="0.3">
      <c r="A69">
        <v>500096</v>
      </c>
      <c r="B69" s="2">
        <v>42795</v>
      </c>
      <c r="C69">
        <v>975</v>
      </c>
      <c r="D69">
        <v>805</v>
      </c>
      <c r="E69">
        <v>170</v>
      </c>
      <c r="F69">
        <v>21.12</v>
      </c>
    </row>
    <row r="70" spans="1:6" x14ac:dyDescent="0.3">
      <c r="A70">
        <v>500096</v>
      </c>
      <c r="B70" s="2">
        <v>43160</v>
      </c>
      <c r="C70">
        <v>938</v>
      </c>
      <c r="D70">
        <v>975</v>
      </c>
      <c r="E70">
        <v>-37</v>
      </c>
      <c r="F70">
        <v>-3.79</v>
      </c>
    </row>
    <row r="71" spans="1:6" x14ac:dyDescent="0.3">
      <c r="A71">
        <v>500096</v>
      </c>
      <c r="B71" s="2">
        <v>43525</v>
      </c>
      <c r="C71">
        <v>699</v>
      </c>
      <c r="D71">
        <v>938</v>
      </c>
      <c r="E71">
        <v>-239</v>
      </c>
      <c r="F71">
        <v>-25.48</v>
      </c>
    </row>
    <row r="72" spans="1:6" x14ac:dyDescent="0.3">
      <c r="A72">
        <v>500096</v>
      </c>
      <c r="B72" s="2">
        <v>43891</v>
      </c>
      <c r="C72">
        <v>522</v>
      </c>
      <c r="D72">
        <v>699</v>
      </c>
      <c r="E72">
        <v>-177</v>
      </c>
      <c r="F72">
        <v>-25.32</v>
      </c>
    </row>
    <row r="73" spans="1:6" x14ac:dyDescent="0.3">
      <c r="A73">
        <v>500096</v>
      </c>
      <c r="B73" s="2">
        <v>44256</v>
      </c>
      <c r="C73">
        <v>509</v>
      </c>
      <c r="D73">
        <v>522</v>
      </c>
      <c r="E73">
        <v>-13</v>
      </c>
      <c r="F73">
        <v>-2.4900000000000002</v>
      </c>
    </row>
    <row r="74" spans="1:6" x14ac:dyDescent="0.3">
      <c r="A74">
        <v>500096</v>
      </c>
      <c r="B74" s="2">
        <v>44621</v>
      </c>
      <c r="C74">
        <v>1030</v>
      </c>
      <c r="D74">
        <v>509</v>
      </c>
      <c r="E74">
        <v>521</v>
      </c>
      <c r="F74">
        <v>102.36</v>
      </c>
    </row>
    <row r="75" spans="1:6" x14ac:dyDescent="0.3">
      <c r="A75">
        <v>500096</v>
      </c>
      <c r="B75" s="2">
        <v>44986</v>
      </c>
      <c r="C75">
        <v>1174</v>
      </c>
      <c r="D75">
        <v>1030</v>
      </c>
      <c r="E75">
        <v>144</v>
      </c>
      <c r="F75">
        <v>13.98</v>
      </c>
    </row>
    <row r="76" spans="1:6" x14ac:dyDescent="0.3">
      <c r="A76">
        <v>500112</v>
      </c>
      <c r="B76" s="2">
        <v>41334</v>
      </c>
      <c r="C76">
        <v>1831126</v>
      </c>
      <c r="D76">
        <v>1572681</v>
      </c>
      <c r="E76">
        <v>258445</v>
      </c>
      <c r="F76">
        <v>16.43</v>
      </c>
    </row>
    <row r="77" spans="1:6" x14ac:dyDescent="0.3">
      <c r="A77">
        <v>500112</v>
      </c>
      <c r="B77" s="2">
        <v>41699</v>
      </c>
      <c r="C77">
        <v>2062612</v>
      </c>
      <c r="D77">
        <v>1831126</v>
      </c>
      <c r="E77">
        <v>231486</v>
      </c>
      <c r="F77">
        <v>12.64</v>
      </c>
    </row>
    <row r="78" spans="1:6" x14ac:dyDescent="0.3">
      <c r="A78">
        <v>500112</v>
      </c>
      <c r="B78" s="2">
        <v>42064</v>
      </c>
      <c r="C78">
        <v>2297624</v>
      </c>
      <c r="D78">
        <v>2062612</v>
      </c>
      <c r="E78">
        <v>235012</v>
      </c>
      <c r="F78">
        <v>11.39</v>
      </c>
    </row>
    <row r="79" spans="1:6" x14ac:dyDescent="0.3">
      <c r="A79">
        <v>500112</v>
      </c>
      <c r="B79" s="2">
        <v>42430</v>
      </c>
      <c r="C79">
        <v>2615257</v>
      </c>
      <c r="D79">
        <v>2297624</v>
      </c>
      <c r="E79">
        <v>317633</v>
      </c>
      <c r="F79">
        <v>13.82</v>
      </c>
    </row>
    <row r="80" spans="1:6" x14ac:dyDescent="0.3">
      <c r="A80">
        <v>500112</v>
      </c>
      <c r="B80" s="2">
        <v>42795</v>
      </c>
      <c r="C80">
        <v>2936176</v>
      </c>
      <c r="D80">
        <v>2615257</v>
      </c>
      <c r="E80">
        <v>320919</v>
      </c>
      <c r="F80">
        <v>12.27</v>
      </c>
    </row>
    <row r="81" spans="1:6" x14ac:dyDescent="0.3">
      <c r="A81">
        <v>500112</v>
      </c>
      <c r="B81" s="2">
        <v>43160</v>
      </c>
      <c r="C81">
        <v>3091258</v>
      </c>
      <c r="D81">
        <v>2936176</v>
      </c>
      <c r="E81">
        <v>155082</v>
      </c>
      <c r="F81">
        <v>5.28</v>
      </c>
    </row>
    <row r="82" spans="1:6" x14ac:dyDescent="0.3">
      <c r="A82">
        <v>500112</v>
      </c>
      <c r="B82" s="2">
        <v>43525</v>
      </c>
      <c r="C82">
        <v>3354289</v>
      </c>
      <c r="D82">
        <v>3091258</v>
      </c>
      <c r="E82">
        <v>263031</v>
      </c>
      <c r="F82">
        <v>8.51</v>
      </c>
    </row>
    <row r="83" spans="1:6" x14ac:dyDescent="0.3">
      <c r="A83">
        <v>500112</v>
      </c>
      <c r="B83" s="2">
        <v>43891</v>
      </c>
      <c r="C83">
        <v>3607061</v>
      </c>
      <c r="D83">
        <v>3354289</v>
      </c>
      <c r="E83">
        <v>252772</v>
      </c>
      <c r="F83">
        <v>7.54</v>
      </c>
    </row>
    <row r="84" spans="1:6" x14ac:dyDescent="0.3">
      <c r="A84">
        <v>500112</v>
      </c>
      <c r="B84" s="2">
        <v>44256</v>
      </c>
      <c r="C84">
        <v>4149127</v>
      </c>
      <c r="D84">
        <v>3607061</v>
      </c>
      <c r="E84">
        <v>542066</v>
      </c>
      <c r="F84">
        <v>15.03</v>
      </c>
    </row>
    <row r="85" spans="1:6" x14ac:dyDescent="0.3">
      <c r="A85">
        <v>500112</v>
      </c>
      <c r="B85" s="2">
        <v>44621</v>
      </c>
      <c r="C85">
        <v>4536570</v>
      </c>
      <c r="D85">
        <v>4149127</v>
      </c>
      <c r="E85">
        <v>387443</v>
      </c>
      <c r="F85">
        <v>9.34</v>
      </c>
    </row>
    <row r="86" spans="1:6" x14ac:dyDescent="0.3">
      <c r="A86">
        <v>500114</v>
      </c>
      <c r="B86" s="2">
        <v>41334</v>
      </c>
      <c r="C86">
        <v>0</v>
      </c>
      <c r="D86">
        <v>6</v>
      </c>
      <c r="E86">
        <v>-6</v>
      </c>
      <c r="F86">
        <v>-100</v>
      </c>
    </row>
    <row r="87" spans="1:6" x14ac:dyDescent="0.3">
      <c r="A87">
        <v>500114</v>
      </c>
      <c r="B87" s="2">
        <v>41699</v>
      </c>
      <c r="C87">
        <v>807</v>
      </c>
      <c r="D87">
        <v>0</v>
      </c>
      <c r="E87">
        <v>807</v>
      </c>
      <c r="F87" t="s">
        <v>8</v>
      </c>
    </row>
    <row r="88" spans="1:6" x14ac:dyDescent="0.3">
      <c r="A88">
        <v>500114</v>
      </c>
      <c r="B88" s="2">
        <v>42064</v>
      </c>
      <c r="C88">
        <v>100</v>
      </c>
      <c r="D88">
        <v>807</v>
      </c>
      <c r="E88">
        <v>-707</v>
      </c>
      <c r="F88">
        <v>-87.61</v>
      </c>
    </row>
    <row r="89" spans="1:6" x14ac:dyDescent="0.3">
      <c r="A89">
        <v>500114</v>
      </c>
      <c r="B89" s="2">
        <v>42430</v>
      </c>
      <c r="C89">
        <v>113</v>
      </c>
      <c r="D89">
        <v>100</v>
      </c>
      <c r="E89">
        <v>13</v>
      </c>
      <c r="F89">
        <v>13</v>
      </c>
    </row>
    <row r="90" spans="1:6" x14ac:dyDescent="0.3">
      <c r="A90">
        <v>500114</v>
      </c>
      <c r="B90" s="2">
        <v>42795</v>
      </c>
      <c r="C90">
        <v>1882</v>
      </c>
      <c r="D90">
        <v>113</v>
      </c>
      <c r="E90">
        <v>1769</v>
      </c>
      <c r="F90">
        <v>1565.49</v>
      </c>
    </row>
    <row r="91" spans="1:6" x14ac:dyDescent="0.3">
      <c r="A91">
        <v>500114</v>
      </c>
      <c r="B91" s="2">
        <v>43160</v>
      </c>
      <c r="C91">
        <v>1691</v>
      </c>
      <c r="D91">
        <v>1882</v>
      </c>
      <c r="E91">
        <v>-191</v>
      </c>
      <c r="F91">
        <v>-10.15</v>
      </c>
    </row>
    <row r="92" spans="1:6" x14ac:dyDescent="0.3">
      <c r="A92">
        <v>500114</v>
      </c>
      <c r="B92" s="2">
        <v>43525</v>
      </c>
      <c r="C92">
        <v>2393</v>
      </c>
      <c r="D92">
        <v>1691</v>
      </c>
      <c r="E92">
        <v>702</v>
      </c>
      <c r="F92">
        <v>41.51</v>
      </c>
    </row>
    <row r="93" spans="1:6" x14ac:dyDescent="0.3">
      <c r="A93">
        <v>500114</v>
      </c>
      <c r="B93" s="2">
        <v>43891</v>
      </c>
      <c r="C93">
        <v>3562</v>
      </c>
      <c r="D93">
        <v>2393</v>
      </c>
      <c r="E93">
        <v>1169</v>
      </c>
      <c r="F93">
        <v>48.85</v>
      </c>
    </row>
    <row r="94" spans="1:6" x14ac:dyDescent="0.3">
      <c r="A94">
        <v>500114</v>
      </c>
      <c r="B94" s="2">
        <v>44256</v>
      </c>
      <c r="C94">
        <v>5638</v>
      </c>
      <c r="D94">
        <v>3562</v>
      </c>
      <c r="E94">
        <v>2076</v>
      </c>
      <c r="F94">
        <v>58.28</v>
      </c>
    </row>
    <row r="95" spans="1:6" x14ac:dyDescent="0.3">
      <c r="A95">
        <v>500114</v>
      </c>
      <c r="B95" s="2">
        <v>44621</v>
      </c>
      <c r="C95">
        <v>7275</v>
      </c>
      <c r="D95">
        <v>5638</v>
      </c>
      <c r="E95">
        <v>1637</v>
      </c>
      <c r="F95">
        <v>29.04</v>
      </c>
    </row>
    <row r="96" spans="1:6" x14ac:dyDescent="0.3">
      <c r="A96">
        <v>500114</v>
      </c>
      <c r="B96" s="2">
        <v>44986</v>
      </c>
      <c r="C96">
        <v>9367</v>
      </c>
      <c r="D96">
        <v>7275</v>
      </c>
      <c r="E96">
        <v>2092</v>
      </c>
      <c r="F96">
        <v>28.76</v>
      </c>
    </row>
    <row r="97" spans="1:6" x14ac:dyDescent="0.3">
      <c r="A97">
        <v>500116</v>
      </c>
      <c r="B97" s="2">
        <v>41334</v>
      </c>
      <c r="C97">
        <v>292699</v>
      </c>
      <c r="D97">
        <v>263722</v>
      </c>
      <c r="E97">
        <v>28977</v>
      </c>
      <c r="F97">
        <v>10.99</v>
      </c>
    </row>
    <row r="98" spans="1:6" x14ac:dyDescent="0.3">
      <c r="A98">
        <v>500116</v>
      </c>
      <c r="B98" s="2">
        <v>41699</v>
      </c>
      <c r="C98">
        <v>295719</v>
      </c>
      <c r="D98">
        <v>292699</v>
      </c>
      <c r="E98">
        <v>3020</v>
      </c>
      <c r="F98">
        <v>1.03</v>
      </c>
    </row>
    <row r="99" spans="1:6" x14ac:dyDescent="0.3">
      <c r="A99">
        <v>500116</v>
      </c>
      <c r="B99" s="2">
        <v>42064</v>
      </c>
      <c r="C99">
        <v>321355</v>
      </c>
      <c r="D99">
        <v>295719</v>
      </c>
      <c r="E99">
        <v>25636</v>
      </c>
      <c r="F99">
        <v>8.67</v>
      </c>
    </row>
    <row r="100" spans="1:6" x14ac:dyDescent="0.3">
      <c r="A100">
        <v>500116</v>
      </c>
      <c r="B100" s="2">
        <v>42430</v>
      </c>
      <c r="C100">
        <v>335679</v>
      </c>
      <c r="D100">
        <v>321355</v>
      </c>
      <c r="E100">
        <v>14324</v>
      </c>
      <c r="F100">
        <v>4.46</v>
      </c>
    </row>
    <row r="101" spans="1:6" x14ac:dyDescent="0.3">
      <c r="A101">
        <v>500116</v>
      </c>
      <c r="B101" s="2">
        <v>42795</v>
      </c>
      <c r="C101">
        <v>324580</v>
      </c>
      <c r="D101">
        <v>335679</v>
      </c>
      <c r="E101">
        <v>-11099</v>
      </c>
      <c r="F101">
        <v>-3.31</v>
      </c>
    </row>
    <row r="102" spans="1:6" x14ac:dyDescent="0.3">
      <c r="A102">
        <v>500116</v>
      </c>
      <c r="B102" s="2">
        <v>43160</v>
      </c>
      <c r="C102">
        <v>310962</v>
      </c>
      <c r="D102">
        <v>324580</v>
      </c>
      <c r="E102">
        <v>-13618</v>
      </c>
      <c r="F102">
        <v>-4.2</v>
      </c>
    </row>
    <row r="103" spans="1:6" x14ac:dyDescent="0.3">
      <c r="A103">
        <v>500116</v>
      </c>
      <c r="B103" s="2">
        <v>43525</v>
      </c>
      <c r="C103">
        <v>272478</v>
      </c>
      <c r="D103">
        <v>310962</v>
      </c>
      <c r="E103">
        <v>-38484</v>
      </c>
      <c r="F103">
        <v>-12.38</v>
      </c>
    </row>
    <row r="104" spans="1:6" x14ac:dyDescent="0.3">
      <c r="A104">
        <v>500116</v>
      </c>
      <c r="B104" s="2">
        <v>43891</v>
      </c>
      <c r="C104">
        <v>258963</v>
      </c>
      <c r="D104">
        <v>272478</v>
      </c>
      <c r="E104">
        <v>-13515</v>
      </c>
      <c r="F104">
        <v>-4.96</v>
      </c>
    </row>
    <row r="105" spans="1:6" x14ac:dyDescent="0.3">
      <c r="A105">
        <v>500116</v>
      </c>
      <c r="B105" s="2">
        <v>44256</v>
      </c>
      <c r="C105">
        <v>246568</v>
      </c>
      <c r="D105">
        <v>258963</v>
      </c>
      <c r="E105">
        <v>-12395</v>
      </c>
      <c r="F105">
        <v>-4.79</v>
      </c>
    </row>
    <row r="106" spans="1:6" x14ac:dyDescent="0.3">
      <c r="A106">
        <v>500116</v>
      </c>
      <c r="B106" s="2">
        <v>44621</v>
      </c>
      <c r="C106">
        <v>247195</v>
      </c>
      <c r="D106">
        <v>246568</v>
      </c>
      <c r="E106">
        <v>627</v>
      </c>
      <c r="F106">
        <v>0.25</v>
      </c>
    </row>
    <row r="107" spans="1:6" x14ac:dyDescent="0.3">
      <c r="A107">
        <v>500124</v>
      </c>
      <c r="B107" s="2">
        <v>41334</v>
      </c>
      <c r="C107">
        <v>3682</v>
      </c>
      <c r="D107">
        <v>3234</v>
      </c>
      <c r="E107">
        <v>448</v>
      </c>
      <c r="F107">
        <v>13.85</v>
      </c>
    </row>
    <row r="108" spans="1:6" x14ac:dyDescent="0.3">
      <c r="A108">
        <v>500124</v>
      </c>
      <c r="B108" s="2">
        <v>41699</v>
      </c>
      <c r="C108">
        <v>4477</v>
      </c>
      <c r="D108">
        <v>3682</v>
      </c>
      <c r="E108">
        <v>795</v>
      </c>
      <c r="F108">
        <v>21.59</v>
      </c>
    </row>
    <row r="109" spans="1:6" x14ac:dyDescent="0.3">
      <c r="A109">
        <v>500124</v>
      </c>
      <c r="B109" s="2">
        <v>42064</v>
      </c>
      <c r="C109">
        <v>4314</v>
      </c>
      <c r="D109">
        <v>4477</v>
      </c>
      <c r="E109">
        <v>-163</v>
      </c>
      <c r="F109">
        <v>-3.64</v>
      </c>
    </row>
    <row r="110" spans="1:6" x14ac:dyDescent="0.3">
      <c r="A110">
        <v>500124</v>
      </c>
      <c r="B110" s="2">
        <v>42430</v>
      </c>
      <c r="C110">
        <v>3352</v>
      </c>
      <c r="D110">
        <v>4314</v>
      </c>
      <c r="E110">
        <v>-962</v>
      </c>
      <c r="F110">
        <v>-22.3</v>
      </c>
    </row>
    <row r="111" spans="1:6" x14ac:dyDescent="0.3">
      <c r="A111">
        <v>500124</v>
      </c>
      <c r="B111" s="2">
        <v>42795</v>
      </c>
      <c r="C111">
        <v>4918</v>
      </c>
      <c r="D111">
        <v>3352</v>
      </c>
      <c r="E111">
        <v>1566</v>
      </c>
      <c r="F111">
        <v>46.72</v>
      </c>
    </row>
    <row r="112" spans="1:6" x14ac:dyDescent="0.3">
      <c r="A112">
        <v>500124</v>
      </c>
      <c r="B112" s="2">
        <v>43160</v>
      </c>
      <c r="C112">
        <v>5071</v>
      </c>
      <c r="D112">
        <v>4918</v>
      </c>
      <c r="E112">
        <v>153</v>
      </c>
      <c r="F112">
        <v>3.11</v>
      </c>
    </row>
    <row r="113" spans="1:6" x14ac:dyDescent="0.3">
      <c r="A113">
        <v>500124</v>
      </c>
      <c r="B113" s="2">
        <v>43525</v>
      </c>
      <c r="C113">
        <v>3838</v>
      </c>
      <c r="D113">
        <v>5071</v>
      </c>
      <c r="E113">
        <v>-1233</v>
      </c>
      <c r="F113">
        <v>-24.31</v>
      </c>
    </row>
    <row r="114" spans="1:6" x14ac:dyDescent="0.3">
      <c r="A114">
        <v>500124</v>
      </c>
      <c r="B114" s="2">
        <v>43891</v>
      </c>
      <c r="C114">
        <v>2210</v>
      </c>
      <c r="D114">
        <v>3838</v>
      </c>
      <c r="E114">
        <v>-1628</v>
      </c>
      <c r="F114">
        <v>-42.42</v>
      </c>
    </row>
    <row r="115" spans="1:6" x14ac:dyDescent="0.3">
      <c r="A115">
        <v>500124</v>
      </c>
      <c r="B115" s="2">
        <v>44256</v>
      </c>
      <c r="C115">
        <v>3031</v>
      </c>
      <c r="D115">
        <v>2210</v>
      </c>
      <c r="E115">
        <v>821</v>
      </c>
      <c r="F115">
        <v>37.15</v>
      </c>
    </row>
    <row r="116" spans="1:6" x14ac:dyDescent="0.3">
      <c r="A116">
        <v>500124</v>
      </c>
      <c r="B116" s="2">
        <v>44621</v>
      </c>
      <c r="C116">
        <v>3384</v>
      </c>
      <c r="D116">
        <v>3031</v>
      </c>
      <c r="E116">
        <v>353</v>
      </c>
      <c r="F116">
        <v>11.65</v>
      </c>
    </row>
    <row r="117" spans="1:6" x14ac:dyDescent="0.3">
      <c r="A117">
        <v>500124</v>
      </c>
      <c r="B117" s="2">
        <v>44986</v>
      </c>
      <c r="C117">
        <v>1347</v>
      </c>
      <c r="D117">
        <v>3384</v>
      </c>
      <c r="E117">
        <v>-2037</v>
      </c>
      <c r="F117">
        <v>-60.2</v>
      </c>
    </row>
    <row r="118" spans="1:6" x14ac:dyDescent="0.3">
      <c r="A118">
        <v>500180</v>
      </c>
      <c r="B118" s="2">
        <v>41334</v>
      </c>
      <c r="C118">
        <v>335588</v>
      </c>
      <c r="D118">
        <v>272874</v>
      </c>
      <c r="E118">
        <v>62714</v>
      </c>
      <c r="F118">
        <v>22.98</v>
      </c>
    </row>
    <row r="119" spans="1:6" x14ac:dyDescent="0.3">
      <c r="A119">
        <v>500180</v>
      </c>
      <c r="B119" s="2">
        <v>41699</v>
      </c>
      <c r="C119">
        <v>416677</v>
      </c>
      <c r="D119">
        <v>335588</v>
      </c>
      <c r="E119">
        <v>81089</v>
      </c>
      <c r="F119">
        <v>24.16</v>
      </c>
    </row>
    <row r="120" spans="1:6" x14ac:dyDescent="0.3">
      <c r="A120">
        <v>500180</v>
      </c>
      <c r="B120" s="2">
        <v>42064</v>
      </c>
      <c r="C120">
        <v>509762</v>
      </c>
      <c r="D120">
        <v>416677</v>
      </c>
      <c r="E120">
        <v>93085</v>
      </c>
      <c r="F120">
        <v>22.34</v>
      </c>
    </row>
    <row r="121" spans="1:6" x14ac:dyDescent="0.3">
      <c r="A121">
        <v>500180</v>
      </c>
      <c r="B121" s="2">
        <v>42430</v>
      </c>
      <c r="C121">
        <v>649587</v>
      </c>
      <c r="D121">
        <v>509762</v>
      </c>
      <c r="E121">
        <v>139825</v>
      </c>
      <c r="F121">
        <v>27.43</v>
      </c>
    </row>
    <row r="122" spans="1:6" x14ac:dyDescent="0.3">
      <c r="A122">
        <v>500180</v>
      </c>
      <c r="B122" s="2">
        <v>42795</v>
      </c>
      <c r="C122">
        <v>741550</v>
      </c>
      <c r="D122">
        <v>649587</v>
      </c>
      <c r="E122">
        <v>91963</v>
      </c>
      <c r="F122">
        <v>14.16</v>
      </c>
    </row>
    <row r="123" spans="1:6" x14ac:dyDescent="0.3">
      <c r="A123">
        <v>500180</v>
      </c>
      <c r="B123" s="2">
        <v>43160</v>
      </c>
      <c r="C123">
        <v>944817</v>
      </c>
      <c r="D123">
        <v>741550</v>
      </c>
      <c r="E123">
        <v>203267</v>
      </c>
      <c r="F123">
        <v>27.41</v>
      </c>
    </row>
    <row r="124" spans="1:6" x14ac:dyDescent="0.3">
      <c r="A124">
        <v>500180</v>
      </c>
      <c r="B124" s="2">
        <v>43525</v>
      </c>
      <c r="C124">
        <v>1080235</v>
      </c>
      <c r="D124">
        <v>944817</v>
      </c>
      <c r="E124">
        <v>135418</v>
      </c>
      <c r="F124">
        <v>14.33</v>
      </c>
    </row>
    <row r="125" spans="1:6" x14ac:dyDescent="0.3">
      <c r="A125">
        <v>500180</v>
      </c>
      <c r="B125" s="2">
        <v>43891</v>
      </c>
      <c r="C125">
        <v>1333041</v>
      </c>
      <c r="D125">
        <v>1080235</v>
      </c>
      <c r="E125">
        <v>252806</v>
      </c>
      <c r="F125">
        <v>23.4</v>
      </c>
    </row>
    <row r="126" spans="1:6" x14ac:dyDescent="0.3">
      <c r="A126">
        <v>500180</v>
      </c>
      <c r="B126" s="2">
        <v>44256</v>
      </c>
      <c r="C126">
        <v>1511418</v>
      </c>
      <c r="D126">
        <v>1333041</v>
      </c>
      <c r="E126">
        <v>178377</v>
      </c>
      <c r="F126">
        <v>13.38</v>
      </c>
    </row>
    <row r="127" spans="1:6" x14ac:dyDescent="0.3">
      <c r="A127">
        <v>500180</v>
      </c>
      <c r="B127" s="2">
        <v>44621</v>
      </c>
      <c r="C127">
        <v>1784970</v>
      </c>
      <c r="D127">
        <v>1511418</v>
      </c>
      <c r="E127">
        <v>273552</v>
      </c>
      <c r="F127">
        <v>18.100000000000001</v>
      </c>
    </row>
    <row r="128" spans="1:6" x14ac:dyDescent="0.3">
      <c r="A128">
        <v>500182</v>
      </c>
      <c r="B128" s="2">
        <v>42064</v>
      </c>
      <c r="C128">
        <v>100</v>
      </c>
      <c r="D128">
        <v>284</v>
      </c>
      <c r="E128">
        <v>-184</v>
      </c>
      <c r="F128">
        <v>-64.790000000000006</v>
      </c>
    </row>
    <row r="129" spans="1:6" x14ac:dyDescent="0.3">
      <c r="A129">
        <v>500182</v>
      </c>
      <c r="B129" s="2">
        <v>42430</v>
      </c>
      <c r="C129">
        <v>232</v>
      </c>
      <c r="D129">
        <v>100</v>
      </c>
      <c r="E129">
        <v>132</v>
      </c>
      <c r="F129">
        <v>132</v>
      </c>
    </row>
    <row r="130" spans="1:6" x14ac:dyDescent="0.3">
      <c r="A130">
        <v>500182</v>
      </c>
      <c r="B130" s="2">
        <v>42795</v>
      </c>
      <c r="C130">
        <v>261</v>
      </c>
      <c r="D130">
        <v>232</v>
      </c>
      <c r="E130">
        <v>29</v>
      </c>
      <c r="F130">
        <v>12.5</v>
      </c>
    </row>
    <row r="131" spans="1:6" x14ac:dyDescent="0.3">
      <c r="A131">
        <v>500182</v>
      </c>
      <c r="B131" s="2">
        <v>43160</v>
      </c>
      <c r="C131">
        <v>228</v>
      </c>
      <c r="D131">
        <v>261</v>
      </c>
      <c r="E131">
        <v>-33</v>
      </c>
      <c r="F131">
        <v>-12.64</v>
      </c>
    </row>
    <row r="132" spans="1:6" x14ac:dyDescent="0.3">
      <c r="A132">
        <v>500182</v>
      </c>
      <c r="B132" s="2">
        <v>43525</v>
      </c>
      <c r="C132">
        <v>312</v>
      </c>
      <c r="D132">
        <v>228</v>
      </c>
      <c r="E132">
        <v>84</v>
      </c>
      <c r="F132">
        <v>36.840000000000003</v>
      </c>
    </row>
    <row r="133" spans="1:6" x14ac:dyDescent="0.3">
      <c r="A133">
        <v>500182</v>
      </c>
      <c r="B133" s="2">
        <v>43891</v>
      </c>
      <c r="C133">
        <v>453</v>
      </c>
      <c r="D133">
        <v>312</v>
      </c>
      <c r="E133">
        <v>141</v>
      </c>
      <c r="F133">
        <v>45.19</v>
      </c>
    </row>
    <row r="134" spans="1:6" x14ac:dyDescent="0.3">
      <c r="A134">
        <v>500182</v>
      </c>
      <c r="B134" s="2">
        <v>44256</v>
      </c>
      <c r="C134">
        <v>584</v>
      </c>
      <c r="D134">
        <v>453</v>
      </c>
      <c r="E134">
        <v>131</v>
      </c>
      <c r="F134">
        <v>28.92</v>
      </c>
    </row>
    <row r="135" spans="1:6" x14ac:dyDescent="0.3">
      <c r="A135">
        <v>500182</v>
      </c>
      <c r="B135" s="2">
        <v>44621</v>
      </c>
      <c r="C135">
        <v>605</v>
      </c>
      <c r="D135">
        <v>584</v>
      </c>
      <c r="E135">
        <v>21</v>
      </c>
      <c r="F135">
        <v>3.6</v>
      </c>
    </row>
    <row r="136" spans="1:6" x14ac:dyDescent="0.3">
      <c r="A136">
        <v>500182</v>
      </c>
      <c r="B136" s="2">
        <v>44986</v>
      </c>
      <c r="C136">
        <v>568</v>
      </c>
      <c r="D136">
        <v>605</v>
      </c>
      <c r="E136">
        <v>-37</v>
      </c>
      <c r="F136">
        <v>-6.12</v>
      </c>
    </row>
    <row r="137" spans="1:6" x14ac:dyDescent="0.3">
      <c r="A137">
        <v>500188</v>
      </c>
      <c r="B137" s="2">
        <v>41334</v>
      </c>
      <c r="C137">
        <v>0</v>
      </c>
      <c r="D137">
        <v>0</v>
      </c>
      <c r="E137">
        <v>0</v>
      </c>
      <c r="F137" t="s">
        <v>8</v>
      </c>
    </row>
    <row r="138" spans="1:6" x14ac:dyDescent="0.3">
      <c r="A138">
        <v>500188</v>
      </c>
      <c r="B138" s="2">
        <v>41699</v>
      </c>
      <c r="C138">
        <v>0</v>
      </c>
      <c r="D138">
        <v>0</v>
      </c>
      <c r="E138">
        <v>0</v>
      </c>
      <c r="F138" t="s">
        <v>8</v>
      </c>
    </row>
    <row r="139" spans="1:6" x14ac:dyDescent="0.3">
      <c r="A139">
        <v>500188</v>
      </c>
      <c r="B139" s="2">
        <v>42064</v>
      </c>
      <c r="C139">
        <v>0</v>
      </c>
      <c r="D139">
        <v>0</v>
      </c>
      <c r="E139">
        <v>0</v>
      </c>
      <c r="F139" t="s">
        <v>8</v>
      </c>
    </row>
    <row r="140" spans="1:6" x14ac:dyDescent="0.3">
      <c r="A140">
        <v>500188</v>
      </c>
      <c r="B140" s="2">
        <v>42430</v>
      </c>
      <c r="C140">
        <v>0</v>
      </c>
      <c r="D140">
        <v>0</v>
      </c>
      <c r="E140">
        <v>0</v>
      </c>
      <c r="F140" t="s">
        <v>8</v>
      </c>
    </row>
    <row r="141" spans="1:6" x14ac:dyDescent="0.3">
      <c r="A141">
        <v>500188</v>
      </c>
      <c r="B141" s="2">
        <v>42795</v>
      </c>
      <c r="C141">
        <v>7908</v>
      </c>
      <c r="D141">
        <v>0</v>
      </c>
      <c r="E141">
        <v>7908</v>
      </c>
      <c r="F141" t="s">
        <v>8</v>
      </c>
    </row>
    <row r="142" spans="1:6" x14ac:dyDescent="0.3">
      <c r="A142">
        <v>500188</v>
      </c>
      <c r="B142" s="2">
        <v>43160</v>
      </c>
      <c r="C142">
        <v>0</v>
      </c>
      <c r="D142">
        <v>7908</v>
      </c>
      <c r="E142">
        <v>-7908</v>
      </c>
      <c r="F142">
        <v>-100</v>
      </c>
    </row>
    <row r="143" spans="1:6" x14ac:dyDescent="0.3">
      <c r="A143">
        <v>500188</v>
      </c>
      <c r="B143" s="2">
        <v>43525</v>
      </c>
      <c r="C143">
        <v>2538</v>
      </c>
      <c r="D143">
        <v>0</v>
      </c>
      <c r="E143">
        <v>2538</v>
      </c>
      <c r="F143" t="s">
        <v>8</v>
      </c>
    </row>
    <row r="144" spans="1:6" x14ac:dyDescent="0.3">
      <c r="A144">
        <v>500188</v>
      </c>
      <c r="B144" s="2">
        <v>43891</v>
      </c>
      <c r="C144">
        <v>611</v>
      </c>
      <c r="D144">
        <v>2538</v>
      </c>
      <c r="E144">
        <v>-1927</v>
      </c>
      <c r="F144">
        <v>-75.930000000000007</v>
      </c>
    </row>
    <row r="145" spans="1:6" x14ac:dyDescent="0.3">
      <c r="A145">
        <v>500188</v>
      </c>
      <c r="B145" s="2">
        <v>44256</v>
      </c>
      <c r="C145">
        <v>7201</v>
      </c>
      <c r="D145">
        <v>611</v>
      </c>
      <c r="E145">
        <v>6590</v>
      </c>
      <c r="F145">
        <v>1078.56</v>
      </c>
    </row>
    <row r="146" spans="1:6" x14ac:dyDescent="0.3">
      <c r="A146">
        <v>500188</v>
      </c>
      <c r="B146" s="2">
        <v>44621</v>
      </c>
      <c r="C146">
        <v>2844</v>
      </c>
      <c r="D146">
        <v>7201</v>
      </c>
      <c r="E146">
        <v>-4357</v>
      </c>
      <c r="F146">
        <v>-60.51</v>
      </c>
    </row>
    <row r="147" spans="1:6" x14ac:dyDescent="0.3">
      <c r="A147">
        <v>500188</v>
      </c>
      <c r="B147" s="2">
        <v>44986</v>
      </c>
      <c r="C147">
        <v>11881</v>
      </c>
      <c r="D147">
        <v>2844</v>
      </c>
      <c r="E147">
        <v>9037</v>
      </c>
      <c r="F147">
        <v>317.76</v>
      </c>
    </row>
    <row r="148" spans="1:6" x14ac:dyDescent="0.3">
      <c r="A148">
        <v>500209</v>
      </c>
      <c r="B148" s="2">
        <v>41334</v>
      </c>
      <c r="C148">
        <v>0</v>
      </c>
      <c r="D148">
        <v>0</v>
      </c>
      <c r="E148">
        <v>0</v>
      </c>
      <c r="F148" t="s">
        <v>8</v>
      </c>
    </row>
    <row r="149" spans="1:6" x14ac:dyDescent="0.3">
      <c r="A149">
        <v>500209</v>
      </c>
      <c r="B149" s="2">
        <v>41699</v>
      </c>
      <c r="C149">
        <v>0</v>
      </c>
      <c r="D149">
        <v>0</v>
      </c>
      <c r="E149">
        <v>0</v>
      </c>
      <c r="F149" t="s">
        <v>8</v>
      </c>
    </row>
    <row r="150" spans="1:6" x14ac:dyDescent="0.3">
      <c r="A150">
        <v>500209</v>
      </c>
      <c r="B150" s="2">
        <v>42064</v>
      </c>
      <c r="C150">
        <v>0</v>
      </c>
      <c r="D150">
        <v>0</v>
      </c>
      <c r="E150">
        <v>0</v>
      </c>
      <c r="F150" t="s">
        <v>8</v>
      </c>
    </row>
    <row r="151" spans="1:6" x14ac:dyDescent="0.3">
      <c r="A151">
        <v>500209</v>
      </c>
      <c r="B151" s="2">
        <v>42430</v>
      </c>
      <c r="C151">
        <v>0</v>
      </c>
      <c r="D151">
        <v>0</v>
      </c>
      <c r="E151">
        <v>0</v>
      </c>
      <c r="F151" t="s">
        <v>8</v>
      </c>
    </row>
    <row r="152" spans="1:6" x14ac:dyDescent="0.3">
      <c r="A152">
        <v>500209</v>
      </c>
      <c r="B152" s="2">
        <v>42795</v>
      </c>
      <c r="C152">
        <v>0</v>
      </c>
      <c r="D152">
        <v>0</v>
      </c>
      <c r="E152">
        <v>0</v>
      </c>
      <c r="F152" t="s">
        <v>8</v>
      </c>
    </row>
    <row r="153" spans="1:6" x14ac:dyDescent="0.3">
      <c r="A153">
        <v>500209</v>
      </c>
      <c r="B153" s="2">
        <v>43160</v>
      </c>
      <c r="C153">
        <v>0</v>
      </c>
      <c r="D153">
        <v>0</v>
      </c>
      <c r="E153">
        <v>0</v>
      </c>
      <c r="F153" t="s">
        <v>8</v>
      </c>
    </row>
    <row r="154" spans="1:6" x14ac:dyDescent="0.3">
      <c r="A154">
        <v>500209</v>
      </c>
      <c r="B154" s="2">
        <v>43525</v>
      </c>
      <c r="C154">
        <v>0</v>
      </c>
      <c r="D154">
        <v>0</v>
      </c>
      <c r="E154">
        <v>0</v>
      </c>
      <c r="F154" t="s">
        <v>8</v>
      </c>
    </row>
    <row r="155" spans="1:6" x14ac:dyDescent="0.3">
      <c r="A155">
        <v>500209</v>
      </c>
      <c r="B155" s="2">
        <v>43891</v>
      </c>
      <c r="C155">
        <v>4633</v>
      </c>
      <c r="D155">
        <v>0</v>
      </c>
      <c r="E155">
        <v>4633</v>
      </c>
      <c r="F155" t="s">
        <v>8</v>
      </c>
    </row>
    <row r="156" spans="1:6" x14ac:dyDescent="0.3">
      <c r="A156">
        <v>500209</v>
      </c>
      <c r="B156" s="2">
        <v>44256</v>
      </c>
      <c r="C156">
        <v>5325</v>
      </c>
      <c r="D156">
        <v>4633</v>
      </c>
      <c r="E156">
        <v>692</v>
      </c>
      <c r="F156">
        <v>14.94</v>
      </c>
    </row>
    <row r="157" spans="1:6" x14ac:dyDescent="0.3">
      <c r="A157">
        <v>500209</v>
      </c>
      <c r="B157" s="2">
        <v>44621</v>
      </c>
      <c r="C157">
        <v>5474</v>
      </c>
      <c r="D157">
        <v>5325</v>
      </c>
      <c r="E157">
        <v>149</v>
      </c>
      <c r="F157">
        <v>2.8</v>
      </c>
    </row>
    <row r="158" spans="1:6" x14ac:dyDescent="0.3">
      <c r="A158">
        <v>500209</v>
      </c>
      <c r="B158" s="2">
        <v>44986</v>
      </c>
      <c r="C158">
        <v>8299</v>
      </c>
      <c r="D158">
        <v>5474</v>
      </c>
      <c r="E158">
        <v>2825</v>
      </c>
      <c r="F158">
        <v>51.61</v>
      </c>
    </row>
    <row r="159" spans="1:6" x14ac:dyDescent="0.3">
      <c r="A159">
        <v>500228</v>
      </c>
      <c r="B159" s="2">
        <v>41334</v>
      </c>
      <c r="C159">
        <v>21346</v>
      </c>
      <c r="D159">
        <v>19909</v>
      </c>
      <c r="E159">
        <v>1437</v>
      </c>
      <c r="F159">
        <v>7.22</v>
      </c>
    </row>
    <row r="160" spans="1:6" x14ac:dyDescent="0.3">
      <c r="A160">
        <v>500228</v>
      </c>
      <c r="B160" s="2">
        <v>41699</v>
      </c>
      <c r="C160">
        <v>34762</v>
      </c>
      <c r="D160">
        <v>21346</v>
      </c>
      <c r="E160">
        <v>13416</v>
      </c>
      <c r="F160">
        <v>62.85</v>
      </c>
    </row>
    <row r="161" spans="1:6" x14ac:dyDescent="0.3">
      <c r="A161">
        <v>500228</v>
      </c>
      <c r="B161" s="2">
        <v>42064</v>
      </c>
      <c r="C161">
        <v>37990</v>
      </c>
      <c r="D161">
        <v>34762</v>
      </c>
      <c r="E161">
        <v>3228</v>
      </c>
      <c r="F161">
        <v>9.2899999999999991</v>
      </c>
    </row>
    <row r="162" spans="1:6" x14ac:dyDescent="0.3">
      <c r="A162">
        <v>500228</v>
      </c>
      <c r="B162" s="2">
        <v>42430</v>
      </c>
      <c r="C162">
        <v>42204</v>
      </c>
      <c r="D162">
        <v>37990</v>
      </c>
      <c r="E162">
        <v>4214</v>
      </c>
      <c r="F162">
        <v>11.09</v>
      </c>
    </row>
    <row r="163" spans="1:6" x14ac:dyDescent="0.3">
      <c r="A163">
        <v>500228</v>
      </c>
      <c r="B163" s="2">
        <v>42795</v>
      </c>
      <c r="C163">
        <v>43334</v>
      </c>
      <c r="D163">
        <v>42204</v>
      </c>
      <c r="E163">
        <v>1130</v>
      </c>
      <c r="F163">
        <v>2.68</v>
      </c>
    </row>
    <row r="164" spans="1:6" x14ac:dyDescent="0.3">
      <c r="A164">
        <v>500228</v>
      </c>
      <c r="B164" s="2">
        <v>43160</v>
      </c>
      <c r="C164">
        <v>39185</v>
      </c>
      <c r="D164">
        <v>43334</v>
      </c>
      <c r="E164">
        <v>-4149</v>
      </c>
      <c r="F164">
        <v>-9.57</v>
      </c>
    </row>
    <row r="165" spans="1:6" x14ac:dyDescent="0.3">
      <c r="A165">
        <v>500228</v>
      </c>
      <c r="B165" s="2">
        <v>43525</v>
      </c>
      <c r="C165">
        <v>47376</v>
      </c>
      <c r="D165">
        <v>39185</v>
      </c>
      <c r="E165">
        <v>8191</v>
      </c>
      <c r="F165">
        <v>20.9</v>
      </c>
    </row>
    <row r="166" spans="1:6" x14ac:dyDescent="0.3">
      <c r="A166">
        <v>500228</v>
      </c>
      <c r="B166" s="2">
        <v>43891</v>
      </c>
      <c r="C166">
        <v>61399</v>
      </c>
      <c r="D166">
        <v>47376</v>
      </c>
      <c r="E166">
        <v>14023</v>
      </c>
      <c r="F166">
        <v>29.6</v>
      </c>
    </row>
    <row r="167" spans="1:6" x14ac:dyDescent="0.3">
      <c r="A167">
        <v>500228</v>
      </c>
      <c r="B167" s="2">
        <v>44256</v>
      </c>
      <c r="C167">
        <v>66701</v>
      </c>
      <c r="D167">
        <v>61399</v>
      </c>
      <c r="E167">
        <v>5302</v>
      </c>
      <c r="F167">
        <v>8.64</v>
      </c>
    </row>
    <row r="168" spans="1:6" x14ac:dyDescent="0.3">
      <c r="A168">
        <v>500228</v>
      </c>
      <c r="B168" s="2">
        <v>44621</v>
      </c>
      <c r="C168">
        <v>72208</v>
      </c>
      <c r="D168">
        <v>66701</v>
      </c>
      <c r="E168">
        <v>5507</v>
      </c>
      <c r="F168">
        <v>8.26</v>
      </c>
    </row>
    <row r="169" spans="1:6" x14ac:dyDescent="0.3">
      <c r="A169">
        <v>500228</v>
      </c>
      <c r="B169" s="2">
        <v>44986</v>
      </c>
      <c r="C169">
        <v>80853</v>
      </c>
      <c r="D169">
        <v>72208</v>
      </c>
      <c r="E169">
        <v>8645</v>
      </c>
      <c r="F169">
        <v>11.97</v>
      </c>
    </row>
    <row r="170" spans="1:6" x14ac:dyDescent="0.3">
      <c r="A170">
        <v>500247</v>
      </c>
      <c r="B170" s="2">
        <v>41334</v>
      </c>
      <c r="C170">
        <v>85561</v>
      </c>
      <c r="D170">
        <v>65655</v>
      </c>
      <c r="E170">
        <v>19906</v>
      </c>
      <c r="F170">
        <v>30.32</v>
      </c>
    </row>
    <row r="171" spans="1:6" x14ac:dyDescent="0.3">
      <c r="A171">
        <v>500247</v>
      </c>
      <c r="B171" s="2">
        <v>41699</v>
      </c>
      <c r="C171">
        <v>85937</v>
      </c>
      <c r="D171">
        <v>85561</v>
      </c>
      <c r="E171">
        <v>376</v>
      </c>
      <c r="F171">
        <v>0.44</v>
      </c>
    </row>
    <row r="172" spans="1:6" x14ac:dyDescent="0.3">
      <c r="A172">
        <v>500247</v>
      </c>
      <c r="B172" s="2">
        <v>42064</v>
      </c>
      <c r="C172">
        <v>104258</v>
      </c>
      <c r="D172">
        <v>85937</v>
      </c>
      <c r="E172">
        <v>18321</v>
      </c>
      <c r="F172">
        <v>21.32</v>
      </c>
    </row>
    <row r="173" spans="1:6" x14ac:dyDescent="0.3">
      <c r="A173">
        <v>500247</v>
      </c>
      <c r="B173" s="2">
        <v>42430</v>
      </c>
      <c r="C173">
        <v>179679</v>
      </c>
      <c r="D173">
        <v>104258</v>
      </c>
      <c r="E173">
        <v>75421</v>
      </c>
      <c r="F173">
        <v>72.34</v>
      </c>
    </row>
    <row r="174" spans="1:6" x14ac:dyDescent="0.3">
      <c r="A174">
        <v>500247</v>
      </c>
      <c r="B174" s="2">
        <v>42795</v>
      </c>
      <c r="C174">
        <v>205230</v>
      </c>
      <c r="D174">
        <v>179679</v>
      </c>
      <c r="E174">
        <v>25551</v>
      </c>
      <c r="F174">
        <v>14.22</v>
      </c>
    </row>
    <row r="175" spans="1:6" x14ac:dyDescent="0.3">
      <c r="A175">
        <v>500247</v>
      </c>
      <c r="B175" s="2">
        <v>43160</v>
      </c>
      <c r="C175">
        <v>249840</v>
      </c>
      <c r="D175">
        <v>205230</v>
      </c>
      <c r="E175">
        <v>44610</v>
      </c>
      <c r="F175">
        <v>21.74</v>
      </c>
    </row>
    <row r="176" spans="1:6" x14ac:dyDescent="0.3">
      <c r="A176">
        <v>500247</v>
      </c>
      <c r="B176" s="2">
        <v>43525</v>
      </c>
      <c r="C176">
        <v>291263</v>
      </c>
      <c r="D176">
        <v>249840</v>
      </c>
      <c r="E176">
        <v>41423</v>
      </c>
      <c r="F176">
        <v>16.579999999999998</v>
      </c>
    </row>
    <row r="177" spans="1:6" x14ac:dyDescent="0.3">
      <c r="A177">
        <v>500247</v>
      </c>
      <c r="B177" s="2">
        <v>43891</v>
      </c>
      <c r="C177">
        <v>325977</v>
      </c>
      <c r="D177">
        <v>291263</v>
      </c>
      <c r="E177">
        <v>34714</v>
      </c>
      <c r="F177">
        <v>11.92</v>
      </c>
    </row>
    <row r="178" spans="1:6" x14ac:dyDescent="0.3">
      <c r="A178">
        <v>500247</v>
      </c>
      <c r="B178" s="2">
        <v>44256</v>
      </c>
      <c r="C178">
        <v>326610</v>
      </c>
      <c r="D178">
        <v>325977</v>
      </c>
      <c r="E178">
        <v>633</v>
      </c>
      <c r="F178">
        <v>0.19</v>
      </c>
    </row>
    <row r="179" spans="1:6" x14ac:dyDescent="0.3">
      <c r="A179">
        <v>500247</v>
      </c>
      <c r="B179" s="2">
        <v>44621</v>
      </c>
      <c r="C179">
        <v>365235</v>
      </c>
      <c r="D179">
        <v>326610</v>
      </c>
      <c r="E179">
        <v>38625</v>
      </c>
      <c r="F179">
        <v>11.83</v>
      </c>
    </row>
    <row r="180" spans="1:6" x14ac:dyDescent="0.3">
      <c r="A180">
        <v>500251</v>
      </c>
      <c r="B180" s="2">
        <v>41334</v>
      </c>
      <c r="C180">
        <v>336</v>
      </c>
      <c r="D180">
        <v>301</v>
      </c>
      <c r="E180">
        <v>35</v>
      </c>
      <c r="F180">
        <v>11.63</v>
      </c>
    </row>
    <row r="181" spans="1:6" x14ac:dyDescent="0.3">
      <c r="A181">
        <v>500251</v>
      </c>
      <c r="B181" s="2">
        <v>41699</v>
      </c>
      <c r="C181">
        <v>332</v>
      </c>
      <c r="D181">
        <v>336</v>
      </c>
      <c r="E181">
        <v>-4</v>
      </c>
      <c r="F181">
        <v>-1.19</v>
      </c>
    </row>
    <row r="182" spans="1:6" x14ac:dyDescent="0.3">
      <c r="A182">
        <v>500251</v>
      </c>
      <c r="B182" s="2">
        <v>42064</v>
      </c>
      <c r="C182">
        <v>267</v>
      </c>
      <c r="D182">
        <v>332</v>
      </c>
      <c r="E182">
        <v>-65</v>
      </c>
      <c r="F182">
        <v>-19.579999999999998</v>
      </c>
    </row>
    <row r="183" spans="1:6" x14ac:dyDescent="0.3">
      <c r="A183">
        <v>500251</v>
      </c>
      <c r="B183" s="2">
        <v>42430</v>
      </c>
      <c r="C183">
        <v>400</v>
      </c>
      <c r="D183">
        <v>267</v>
      </c>
      <c r="E183">
        <v>133</v>
      </c>
      <c r="F183">
        <v>49.81</v>
      </c>
    </row>
    <row r="184" spans="1:6" x14ac:dyDescent="0.3">
      <c r="A184">
        <v>500251</v>
      </c>
      <c r="B184" s="2">
        <v>42795</v>
      </c>
      <c r="C184">
        <v>392</v>
      </c>
      <c r="D184">
        <v>400</v>
      </c>
      <c r="E184">
        <v>-8</v>
      </c>
      <c r="F184">
        <v>-2</v>
      </c>
    </row>
    <row r="185" spans="1:6" x14ac:dyDescent="0.3">
      <c r="A185">
        <v>500251</v>
      </c>
      <c r="B185" s="2">
        <v>43160</v>
      </c>
      <c r="C185">
        <v>391</v>
      </c>
      <c r="D185">
        <v>392</v>
      </c>
      <c r="E185">
        <v>-1</v>
      </c>
      <c r="F185">
        <v>-0.26</v>
      </c>
    </row>
    <row r="186" spans="1:6" x14ac:dyDescent="0.3">
      <c r="A186">
        <v>500251</v>
      </c>
      <c r="B186" s="2">
        <v>43525</v>
      </c>
      <c r="C186">
        <v>494</v>
      </c>
      <c r="D186">
        <v>391</v>
      </c>
      <c r="E186">
        <v>103</v>
      </c>
      <c r="F186">
        <v>26.34</v>
      </c>
    </row>
    <row r="187" spans="1:6" x14ac:dyDescent="0.3">
      <c r="A187">
        <v>500251</v>
      </c>
      <c r="B187" s="2">
        <v>43891</v>
      </c>
      <c r="C187">
        <v>300</v>
      </c>
      <c r="D187">
        <v>494</v>
      </c>
      <c r="E187">
        <v>-194</v>
      </c>
      <c r="F187">
        <v>-39.270000000000003</v>
      </c>
    </row>
    <row r="188" spans="1:6" x14ac:dyDescent="0.3">
      <c r="A188">
        <v>500251</v>
      </c>
      <c r="B188" s="2">
        <v>44256</v>
      </c>
      <c r="C188">
        <v>300</v>
      </c>
      <c r="D188">
        <v>300</v>
      </c>
      <c r="E188">
        <v>0</v>
      </c>
      <c r="F188">
        <v>0</v>
      </c>
    </row>
    <row r="189" spans="1:6" x14ac:dyDescent="0.3">
      <c r="A189">
        <v>500251</v>
      </c>
      <c r="B189" s="2">
        <v>44621</v>
      </c>
      <c r="C189">
        <v>4725</v>
      </c>
      <c r="D189">
        <v>300</v>
      </c>
      <c r="E189">
        <v>4425</v>
      </c>
      <c r="F189">
        <v>1475</v>
      </c>
    </row>
    <row r="190" spans="1:6" x14ac:dyDescent="0.3">
      <c r="A190">
        <v>500251</v>
      </c>
      <c r="B190" s="2">
        <v>44986</v>
      </c>
      <c r="C190">
        <v>4464</v>
      </c>
      <c r="D190">
        <v>4725</v>
      </c>
      <c r="E190">
        <v>-261</v>
      </c>
      <c r="F190">
        <v>-5.52</v>
      </c>
    </row>
    <row r="191" spans="1:6" x14ac:dyDescent="0.3">
      <c r="A191">
        <v>500295</v>
      </c>
      <c r="B191" s="2">
        <v>41334</v>
      </c>
      <c r="C191">
        <v>4839</v>
      </c>
      <c r="D191">
        <v>3741</v>
      </c>
      <c r="E191">
        <v>1098</v>
      </c>
      <c r="F191">
        <v>29.35</v>
      </c>
    </row>
    <row r="192" spans="1:6" x14ac:dyDescent="0.3">
      <c r="A192">
        <v>500295</v>
      </c>
      <c r="B192" s="2">
        <v>41699</v>
      </c>
      <c r="C192">
        <v>80566</v>
      </c>
      <c r="D192">
        <v>4839</v>
      </c>
      <c r="E192">
        <v>75727</v>
      </c>
      <c r="F192">
        <v>1564.93</v>
      </c>
    </row>
    <row r="193" spans="1:6" x14ac:dyDescent="0.3">
      <c r="A193">
        <v>500295</v>
      </c>
      <c r="B193" s="2">
        <v>42064</v>
      </c>
      <c r="C193">
        <v>77752</v>
      </c>
      <c r="D193">
        <v>80566</v>
      </c>
      <c r="E193">
        <v>-2814</v>
      </c>
      <c r="F193">
        <v>-3.49</v>
      </c>
    </row>
    <row r="194" spans="1:6" x14ac:dyDescent="0.3">
      <c r="A194">
        <v>500295</v>
      </c>
      <c r="B194" s="2">
        <v>42430</v>
      </c>
      <c r="C194">
        <v>67778</v>
      </c>
      <c r="D194">
        <v>77752</v>
      </c>
      <c r="E194">
        <v>-9974</v>
      </c>
      <c r="F194">
        <v>-12.83</v>
      </c>
    </row>
    <row r="195" spans="1:6" x14ac:dyDescent="0.3">
      <c r="A195">
        <v>500295</v>
      </c>
      <c r="B195" s="2">
        <v>42795</v>
      </c>
      <c r="C195">
        <v>71569</v>
      </c>
      <c r="D195">
        <v>67778</v>
      </c>
      <c r="E195">
        <v>3791</v>
      </c>
      <c r="F195">
        <v>5.59</v>
      </c>
    </row>
    <row r="196" spans="1:6" x14ac:dyDescent="0.3">
      <c r="A196">
        <v>500295</v>
      </c>
      <c r="B196" s="2">
        <v>43160</v>
      </c>
      <c r="C196">
        <v>58159</v>
      </c>
      <c r="D196">
        <v>71569</v>
      </c>
      <c r="E196">
        <v>-13410</v>
      </c>
      <c r="F196">
        <v>-18.739999999999998</v>
      </c>
    </row>
    <row r="197" spans="1:6" x14ac:dyDescent="0.3">
      <c r="A197">
        <v>500295</v>
      </c>
      <c r="B197" s="2">
        <v>43525</v>
      </c>
      <c r="C197">
        <v>66226</v>
      </c>
      <c r="D197">
        <v>58159</v>
      </c>
      <c r="E197">
        <v>8067</v>
      </c>
      <c r="F197">
        <v>13.87</v>
      </c>
    </row>
    <row r="198" spans="1:6" x14ac:dyDescent="0.3">
      <c r="A198">
        <v>500295</v>
      </c>
      <c r="B198" s="2">
        <v>43891</v>
      </c>
      <c r="C198">
        <v>59185</v>
      </c>
      <c r="D198">
        <v>66226</v>
      </c>
      <c r="E198">
        <v>-7041</v>
      </c>
      <c r="F198">
        <v>-10.63</v>
      </c>
    </row>
    <row r="199" spans="1:6" x14ac:dyDescent="0.3">
      <c r="A199">
        <v>500295</v>
      </c>
      <c r="B199" s="2">
        <v>44256</v>
      </c>
      <c r="C199">
        <v>57667</v>
      </c>
      <c r="D199">
        <v>59185</v>
      </c>
      <c r="E199">
        <v>-1518</v>
      </c>
      <c r="F199">
        <v>-2.56</v>
      </c>
    </row>
    <row r="200" spans="1:6" x14ac:dyDescent="0.3">
      <c r="A200">
        <v>500295</v>
      </c>
      <c r="B200" s="2">
        <v>44621</v>
      </c>
      <c r="C200">
        <v>53581</v>
      </c>
      <c r="D200">
        <v>57667</v>
      </c>
      <c r="E200">
        <v>-4086</v>
      </c>
      <c r="F200">
        <v>-7.09</v>
      </c>
    </row>
    <row r="201" spans="1:6" x14ac:dyDescent="0.3">
      <c r="A201">
        <v>500295</v>
      </c>
      <c r="B201" s="2">
        <v>44986</v>
      </c>
      <c r="C201">
        <v>66628</v>
      </c>
      <c r="D201">
        <v>53581</v>
      </c>
      <c r="E201">
        <v>13047</v>
      </c>
      <c r="F201">
        <v>24.35</v>
      </c>
    </row>
    <row r="202" spans="1:6" x14ac:dyDescent="0.3">
      <c r="A202">
        <v>500300</v>
      </c>
      <c r="B202" s="2">
        <v>41334</v>
      </c>
      <c r="C202">
        <v>9550</v>
      </c>
      <c r="D202">
        <v>7038</v>
      </c>
      <c r="E202">
        <v>2512</v>
      </c>
      <c r="F202">
        <v>35.69</v>
      </c>
    </row>
    <row r="203" spans="1:6" x14ac:dyDescent="0.3">
      <c r="A203">
        <v>500300</v>
      </c>
      <c r="B203" s="2">
        <v>41699</v>
      </c>
      <c r="C203">
        <v>9681</v>
      </c>
      <c r="D203">
        <v>9550</v>
      </c>
      <c r="E203">
        <v>131</v>
      </c>
      <c r="F203">
        <v>1.37</v>
      </c>
    </row>
    <row r="204" spans="1:6" x14ac:dyDescent="0.3">
      <c r="A204">
        <v>500300</v>
      </c>
      <c r="B204" s="2">
        <v>42064</v>
      </c>
      <c r="C204">
        <v>11930</v>
      </c>
      <c r="D204">
        <v>9681</v>
      </c>
      <c r="E204">
        <v>2249</v>
      </c>
      <c r="F204">
        <v>23.23</v>
      </c>
    </row>
    <row r="205" spans="1:6" x14ac:dyDescent="0.3">
      <c r="A205">
        <v>500300</v>
      </c>
      <c r="B205" s="2">
        <v>42430</v>
      </c>
      <c r="C205">
        <v>12505</v>
      </c>
      <c r="D205">
        <v>11930</v>
      </c>
      <c r="E205">
        <v>575</v>
      </c>
      <c r="F205">
        <v>4.82</v>
      </c>
    </row>
    <row r="206" spans="1:6" x14ac:dyDescent="0.3">
      <c r="A206">
        <v>500300</v>
      </c>
      <c r="B206" s="2">
        <v>42795</v>
      </c>
      <c r="C206">
        <v>9213</v>
      </c>
      <c r="D206">
        <v>12505</v>
      </c>
      <c r="E206">
        <v>-3292</v>
      </c>
      <c r="F206">
        <v>-26.33</v>
      </c>
    </row>
    <row r="207" spans="1:6" x14ac:dyDescent="0.3">
      <c r="A207">
        <v>500300</v>
      </c>
      <c r="B207" s="2">
        <v>43160</v>
      </c>
      <c r="C207">
        <v>67014</v>
      </c>
      <c r="D207">
        <v>9213</v>
      </c>
      <c r="E207">
        <v>57801</v>
      </c>
      <c r="F207">
        <v>627.39</v>
      </c>
    </row>
    <row r="208" spans="1:6" x14ac:dyDescent="0.3">
      <c r="A208">
        <v>500300</v>
      </c>
      <c r="B208" s="2">
        <v>43525</v>
      </c>
      <c r="C208">
        <v>84418</v>
      </c>
      <c r="D208">
        <v>67014</v>
      </c>
      <c r="E208">
        <v>17404</v>
      </c>
      <c r="F208">
        <v>25.97</v>
      </c>
    </row>
    <row r="209" spans="1:6" x14ac:dyDescent="0.3">
      <c r="A209">
        <v>500300</v>
      </c>
      <c r="B209" s="2">
        <v>43891</v>
      </c>
      <c r="C209">
        <v>84766</v>
      </c>
      <c r="D209">
        <v>84418</v>
      </c>
      <c r="E209">
        <v>348</v>
      </c>
      <c r="F209">
        <v>0.41</v>
      </c>
    </row>
    <row r="210" spans="1:6" x14ac:dyDescent="0.3">
      <c r="A210">
        <v>500300</v>
      </c>
      <c r="B210" s="2">
        <v>44256</v>
      </c>
      <c r="C210">
        <v>79067</v>
      </c>
      <c r="D210">
        <v>84766</v>
      </c>
      <c r="E210">
        <v>-5699</v>
      </c>
      <c r="F210">
        <v>-6.72</v>
      </c>
    </row>
    <row r="211" spans="1:6" x14ac:dyDescent="0.3">
      <c r="A211">
        <v>500300</v>
      </c>
      <c r="B211" s="2">
        <v>44621</v>
      </c>
      <c r="C211">
        <v>74733</v>
      </c>
      <c r="D211">
        <v>79067</v>
      </c>
      <c r="E211">
        <v>-4334</v>
      </c>
      <c r="F211">
        <v>-5.48</v>
      </c>
    </row>
    <row r="212" spans="1:6" x14ac:dyDescent="0.3">
      <c r="A212">
        <v>500300</v>
      </c>
      <c r="B212" s="2">
        <v>44986</v>
      </c>
      <c r="C212">
        <v>103039</v>
      </c>
      <c r="D212">
        <v>74733</v>
      </c>
      <c r="E212">
        <v>28306</v>
      </c>
      <c r="F212">
        <v>37.880000000000003</v>
      </c>
    </row>
    <row r="213" spans="1:6" x14ac:dyDescent="0.3">
      <c r="A213">
        <v>500312</v>
      </c>
      <c r="B213" s="2">
        <v>40969</v>
      </c>
      <c r="C213">
        <v>15973</v>
      </c>
      <c r="D213">
        <v>6704</v>
      </c>
      <c r="E213">
        <v>9269</v>
      </c>
      <c r="F213">
        <v>138.26</v>
      </c>
    </row>
    <row r="214" spans="1:6" x14ac:dyDescent="0.3">
      <c r="A214">
        <v>500312</v>
      </c>
      <c r="B214" s="2">
        <v>41334</v>
      </c>
      <c r="C214">
        <v>20686</v>
      </c>
      <c r="D214">
        <v>15973</v>
      </c>
      <c r="E214">
        <v>4713</v>
      </c>
      <c r="F214">
        <v>29.51</v>
      </c>
    </row>
    <row r="215" spans="1:6" x14ac:dyDescent="0.3">
      <c r="A215">
        <v>500312</v>
      </c>
      <c r="B215" s="2">
        <v>41699</v>
      </c>
      <c r="C215">
        <v>49113</v>
      </c>
      <c r="D215">
        <v>20686</v>
      </c>
      <c r="E215">
        <v>28427</v>
      </c>
      <c r="F215">
        <v>137.41999999999999</v>
      </c>
    </row>
    <row r="216" spans="1:6" x14ac:dyDescent="0.3">
      <c r="A216">
        <v>500312</v>
      </c>
      <c r="B216" s="2">
        <v>42064</v>
      </c>
      <c r="C216">
        <v>53944</v>
      </c>
      <c r="D216">
        <v>49113</v>
      </c>
      <c r="E216">
        <v>4831</v>
      </c>
      <c r="F216">
        <v>9.84</v>
      </c>
    </row>
    <row r="217" spans="1:6" x14ac:dyDescent="0.3">
      <c r="A217">
        <v>500312</v>
      </c>
      <c r="B217" s="2">
        <v>42430</v>
      </c>
      <c r="C217">
        <v>45500</v>
      </c>
      <c r="D217">
        <v>53944</v>
      </c>
      <c r="E217">
        <v>-8444</v>
      </c>
      <c r="F217">
        <v>-15.65</v>
      </c>
    </row>
    <row r="218" spans="1:6" x14ac:dyDescent="0.3">
      <c r="A218">
        <v>500312</v>
      </c>
      <c r="B218" s="2">
        <v>42795</v>
      </c>
      <c r="C218">
        <v>80029</v>
      </c>
      <c r="D218">
        <v>45500</v>
      </c>
      <c r="E218">
        <v>34529</v>
      </c>
      <c r="F218">
        <v>75.89</v>
      </c>
    </row>
    <row r="219" spans="1:6" x14ac:dyDescent="0.3">
      <c r="A219">
        <v>500312</v>
      </c>
      <c r="B219" s="2">
        <v>43160</v>
      </c>
      <c r="C219">
        <v>106550</v>
      </c>
      <c r="D219">
        <v>80029</v>
      </c>
      <c r="E219">
        <v>26521</v>
      </c>
      <c r="F219">
        <v>33.14</v>
      </c>
    </row>
    <row r="220" spans="1:6" x14ac:dyDescent="0.3">
      <c r="A220">
        <v>500312</v>
      </c>
      <c r="B220" s="2">
        <v>43525</v>
      </c>
      <c r="C220">
        <v>107742</v>
      </c>
      <c r="D220">
        <v>106550</v>
      </c>
      <c r="E220">
        <v>1192</v>
      </c>
      <c r="F220">
        <v>1.1200000000000001</v>
      </c>
    </row>
    <row r="221" spans="1:6" x14ac:dyDescent="0.3">
      <c r="A221">
        <v>500312</v>
      </c>
      <c r="B221" s="2">
        <v>43891</v>
      </c>
      <c r="C221">
        <v>129473</v>
      </c>
      <c r="D221">
        <v>107742</v>
      </c>
      <c r="E221">
        <v>21731</v>
      </c>
      <c r="F221">
        <v>20.170000000000002</v>
      </c>
    </row>
    <row r="222" spans="1:6" x14ac:dyDescent="0.3">
      <c r="A222">
        <v>500312</v>
      </c>
      <c r="B222" s="2">
        <v>44256</v>
      </c>
      <c r="C222">
        <v>133187</v>
      </c>
      <c r="D222">
        <v>129473</v>
      </c>
      <c r="E222">
        <v>3714</v>
      </c>
      <c r="F222">
        <v>2.87</v>
      </c>
    </row>
    <row r="223" spans="1:6" x14ac:dyDescent="0.3">
      <c r="A223">
        <v>500312</v>
      </c>
      <c r="B223" s="2">
        <v>44621</v>
      </c>
      <c r="C223">
        <v>121986</v>
      </c>
      <c r="D223">
        <v>133187</v>
      </c>
      <c r="E223">
        <v>-11201</v>
      </c>
      <c r="F223">
        <v>-8.41</v>
      </c>
    </row>
    <row r="224" spans="1:6" x14ac:dyDescent="0.3">
      <c r="A224">
        <v>500312</v>
      </c>
      <c r="B224" s="2">
        <v>44805</v>
      </c>
      <c r="C224">
        <v>150352</v>
      </c>
      <c r="D224">
        <v>121986</v>
      </c>
      <c r="E224">
        <v>28366</v>
      </c>
      <c r="F224">
        <v>23.25</v>
      </c>
    </row>
    <row r="225" spans="1:6" x14ac:dyDescent="0.3">
      <c r="A225">
        <v>500325</v>
      </c>
      <c r="B225" s="2">
        <v>41334</v>
      </c>
      <c r="C225">
        <v>107219</v>
      </c>
      <c r="D225">
        <v>92447</v>
      </c>
      <c r="E225">
        <v>14772</v>
      </c>
      <c r="F225">
        <v>15.98</v>
      </c>
    </row>
    <row r="226" spans="1:6" x14ac:dyDescent="0.3">
      <c r="A226">
        <v>500325</v>
      </c>
      <c r="B226" s="2">
        <v>41699</v>
      </c>
      <c r="C226">
        <v>138761</v>
      </c>
      <c r="D226">
        <v>107219</v>
      </c>
      <c r="E226">
        <v>31542</v>
      </c>
      <c r="F226">
        <v>29.42</v>
      </c>
    </row>
    <row r="227" spans="1:6" x14ac:dyDescent="0.3">
      <c r="A227">
        <v>500325</v>
      </c>
      <c r="B227" s="2">
        <v>42064</v>
      </c>
      <c r="C227">
        <v>168251</v>
      </c>
      <c r="D227">
        <v>138761</v>
      </c>
      <c r="E227">
        <v>29490</v>
      </c>
      <c r="F227">
        <v>21.25</v>
      </c>
    </row>
    <row r="228" spans="1:6" x14ac:dyDescent="0.3">
      <c r="A228">
        <v>500325</v>
      </c>
      <c r="B228" s="2">
        <v>42430</v>
      </c>
      <c r="C228">
        <v>194714</v>
      </c>
      <c r="D228">
        <v>168251</v>
      </c>
      <c r="E228">
        <v>26463</v>
      </c>
      <c r="F228">
        <v>15.73</v>
      </c>
    </row>
    <row r="229" spans="1:6" x14ac:dyDescent="0.3">
      <c r="A229">
        <v>500325</v>
      </c>
      <c r="B229" s="2">
        <v>42795</v>
      </c>
      <c r="C229">
        <v>217475</v>
      </c>
      <c r="D229">
        <v>194714</v>
      </c>
      <c r="E229">
        <v>22761</v>
      </c>
      <c r="F229">
        <v>11.69</v>
      </c>
    </row>
    <row r="230" spans="1:6" x14ac:dyDescent="0.3">
      <c r="A230">
        <v>500325</v>
      </c>
      <c r="B230" s="2">
        <v>43160</v>
      </c>
      <c r="C230">
        <v>239843</v>
      </c>
      <c r="D230">
        <v>217475</v>
      </c>
      <c r="E230">
        <v>22368</v>
      </c>
      <c r="F230">
        <v>10.29</v>
      </c>
    </row>
    <row r="231" spans="1:6" x14ac:dyDescent="0.3">
      <c r="A231">
        <v>500325</v>
      </c>
      <c r="B231" s="2">
        <v>43525</v>
      </c>
      <c r="C231">
        <v>307714</v>
      </c>
      <c r="D231">
        <v>239843</v>
      </c>
      <c r="E231">
        <v>67871</v>
      </c>
      <c r="F231">
        <v>28.3</v>
      </c>
    </row>
    <row r="232" spans="1:6" x14ac:dyDescent="0.3">
      <c r="A232">
        <v>500325</v>
      </c>
      <c r="B232" s="2">
        <v>43891</v>
      </c>
      <c r="C232">
        <v>355133</v>
      </c>
      <c r="D232">
        <v>307714</v>
      </c>
      <c r="E232">
        <v>47419</v>
      </c>
      <c r="F232">
        <v>15.41</v>
      </c>
    </row>
    <row r="233" spans="1:6" x14ac:dyDescent="0.3">
      <c r="A233">
        <v>500325</v>
      </c>
      <c r="B233" s="2">
        <v>44256</v>
      </c>
      <c r="C233">
        <v>278962</v>
      </c>
      <c r="D233">
        <v>355133</v>
      </c>
      <c r="E233">
        <v>-76171</v>
      </c>
      <c r="F233">
        <v>-21.45</v>
      </c>
    </row>
    <row r="234" spans="1:6" x14ac:dyDescent="0.3">
      <c r="A234">
        <v>500325</v>
      </c>
      <c r="B234" s="2">
        <v>44621</v>
      </c>
      <c r="C234">
        <v>319158</v>
      </c>
      <c r="D234">
        <v>278962</v>
      </c>
      <c r="E234">
        <v>40196</v>
      </c>
      <c r="F234">
        <v>14.41</v>
      </c>
    </row>
    <row r="235" spans="1:6" x14ac:dyDescent="0.3">
      <c r="A235">
        <v>500325</v>
      </c>
      <c r="B235" s="2">
        <v>44986</v>
      </c>
      <c r="C235">
        <v>335134</v>
      </c>
      <c r="D235">
        <v>319158</v>
      </c>
      <c r="E235">
        <v>15976</v>
      </c>
      <c r="F235">
        <v>5.01</v>
      </c>
    </row>
    <row r="236" spans="1:6" x14ac:dyDescent="0.3">
      <c r="A236">
        <v>500331</v>
      </c>
      <c r="B236" s="2">
        <v>41334</v>
      </c>
      <c r="C236">
        <v>111</v>
      </c>
      <c r="D236">
        <v>321</v>
      </c>
      <c r="E236">
        <v>-210</v>
      </c>
      <c r="F236">
        <v>-65.42</v>
      </c>
    </row>
    <row r="237" spans="1:6" x14ac:dyDescent="0.3">
      <c r="A237">
        <v>500331</v>
      </c>
      <c r="B237" s="2">
        <v>41699</v>
      </c>
      <c r="C237">
        <v>46</v>
      </c>
      <c r="D237">
        <v>111</v>
      </c>
      <c r="E237">
        <v>-65</v>
      </c>
      <c r="F237">
        <v>-58.56</v>
      </c>
    </row>
    <row r="238" spans="1:6" x14ac:dyDescent="0.3">
      <c r="A238">
        <v>500331</v>
      </c>
      <c r="B238" s="2">
        <v>42064</v>
      </c>
      <c r="C238">
        <v>58</v>
      </c>
      <c r="D238">
        <v>46</v>
      </c>
      <c r="E238">
        <v>12</v>
      </c>
      <c r="F238">
        <v>26.09</v>
      </c>
    </row>
    <row r="239" spans="1:6" x14ac:dyDescent="0.3">
      <c r="A239">
        <v>500331</v>
      </c>
      <c r="B239" s="2">
        <v>42430</v>
      </c>
      <c r="C239">
        <v>80</v>
      </c>
      <c r="D239">
        <v>58</v>
      </c>
      <c r="E239">
        <v>22</v>
      </c>
      <c r="F239">
        <v>37.93</v>
      </c>
    </row>
    <row r="240" spans="1:6" x14ac:dyDescent="0.3">
      <c r="A240">
        <v>500331</v>
      </c>
      <c r="B240" s="2">
        <v>42795</v>
      </c>
      <c r="C240">
        <v>98</v>
      </c>
      <c r="D240">
        <v>80</v>
      </c>
      <c r="E240">
        <v>18</v>
      </c>
      <c r="F240">
        <v>22.5</v>
      </c>
    </row>
    <row r="241" spans="1:6" x14ac:dyDescent="0.3">
      <c r="A241">
        <v>500331</v>
      </c>
      <c r="B241" s="2">
        <v>43160</v>
      </c>
      <c r="C241">
        <v>125</v>
      </c>
      <c r="D241">
        <v>98</v>
      </c>
      <c r="E241">
        <v>27</v>
      </c>
      <c r="F241">
        <v>27.55</v>
      </c>
    </row>
    <row r="242" spans="1:6" x14ac:dyDescent="0.3">
      <c r="A242">
        <v>500331</v>
      </c>
      <c r="B242" s="2">
        <v>43525</v>
      </c>
      <c r="C242">
        <v>113</v>
      </c>
      <c r="D242">
        <v>125</v>
      </c>
      <c r="E242">
        <v>-12</v>
      </c>
      <c r="F242">
        <v>-9.6</v>
      </c>
    </row>
    <row r="243" spans="1:6" x14ac:dyDescent="0.3">
      <c r="A243">
        <v>500331</v>
      </c>
      <c r="B243" s="2">
        <v>43891</v>
      </c>
      <c r="C243">
        <v>288</v>
      </c>
      <c r="D243">
        <v>113</v>
      </c>
      <c r="E243">
        <v>175</v>
      </c>
      <c r="F243">
        <v>154.87</v>
      </c>
    </row>
    <row r="244" spans="1:6" x14ac:dyDescent="0.3">
      <c r="A244">
        <v>500331</v>
      </c>
      <c r="B244" s="2">
        <v>44256</v>
      </c>
      <c r="C244">
        <v>331</v>
      </c>
      <c r="D244">
        <v>288</v>
      </c>
      <c r="E244">
        <v>43</v>
      </c>
      <c r="F244">
        <v>14.93</v>
      </c>
    </row>
    <row r="245" spans="1:6" x14ac:dyDescent="0.3">
      <c r="A245">
        <v>500331</v>
      </c>
      <c r="B245" s="2">
        <v>44621</v>
      </c>
      <c r="C245">
        <v>416</v>
      </c>
      <c r="D245">
        <v>331</v>
      </c>
      <c r="E245">
        <v>85</v>
      </c>
      <c r="F245">
        <v>25.68</v>
      </c>
    </row>
    <row r="246" spans="1:6" x14ac:dyDescent="0.3">
      <c r="A246">
        <v>500331</v>
      </c>
      <c r="B246" s="2">
        <v>44986</v>
      </c>
      <c r="C246">
        <v>391</v>
      </c>
      <c r="D246">
        <v>416</v>
      </c>
      <c r="E246">
        <v>-25</v>
      </c>
      <c r="F246">
        <v>-6.01</v>
      </c>
    </row>
    <row r="247" spans="1:6" x14ac:dyDescent="0.3">
      <c r="A247">
        <v>500387</v>
      </c>
      <c r="B247" s="2">
        <v>41426</v>
      </c>
      <c r="C247">
        <v>1288</v>
      </c>
      <c r="D247">
        <v>2164</v>
      </c>
      <c r="E247">
        <v>-876</v>
      </c>
      <c r="F247">
        <v>-40.479999999999997</v>
      </c>
    </row>
    <row r="248" spans="1:6" x14ac:dyDescent="0.3">
      <c r="A248">
        <v>500387</v>
      </c>
      <c r="B248" s="2">
        <v>41791</v>
      </c>
      <c r="C248">
        <v>1200</v>
      </c>
      <c r="D248">
        <v>1288</v>
      </c>
      <c r="E248">
        <v>-88</v>
      </c>
      <c r="F248">
        <v>-6.83</v>
      </c>
    </row>
    <row r="249" spans="1:6" x14ac:dyDescent="0.3">
      <c r="A249">
        <v>500387</v>
      </c>
      <c r="B249" s="2">
        <v>42156</v>
      </c>
      <c r="C249">
        <v>917</v>
      </c>
      <c r="D249">
        <v>1200</v>
      </c>
      <c r="E249">
        <v>-283</v>
      </c>
      <c r="F249">
        <v>-23.58</v>
      </c>
    </row>
    <row r="250" spans="1:6" x14ac:dyDescent="0.3">
      <c r="A250">
        <v>500387</v>
      </c>
      <c r="B250" s="2">
        <v>42430</v>
      </c>
      <c r="C250">
        <v>881</v>
      </c>
      <c r="D250">
        <v>917</v>
      </c>
      <c r="E250">
        <v>-36</v>
      </c>
      <c r="F250">
        <v>-3.93</v>
      </c>
    </row>
    <row r="251" spans="1:6" x14ac:dyDescent="0.3">
      <c r="A251">
        <v>500387</v>
      </c>
      <c r="B251" s="2">
        <v>42795</v>
      </c>
      <c r="C251">
        <v>1293</v>
      </c>
      <c r="D251">
        <v>881</v>
      </c>
      <c r="E251">
        <v>412</v>
      </c>
      <c r="F251">
        <v>46.77</v>
      </c>
    </row>
    <row r="252" spans="1:6" x14ac:dyDescent="0.3">
      <c r="A252">
        <v>500387</v>
      </c>
      <c r="B252" s="2">
        <v>43160</v>
      </c>
      <c r="C252">
        <v>3403</v>
      </c>
      <c r="D252">
        <v>1293</v>
      </c>
      <c r="E252">
        <v>2110</v>
      </c>
      <c r="F252">
        <v>163.19</v>
      </c>
    </row>
    <row r="253" spans="1:6" x14ac:dyDescent="0.3">
      <c r="A253">
        <v>500387</v>
      </c>
      <c r="B253" s="2">
        <v>43525</v>
      </c>
      <c r="C253">
        <v>2798</v>
      </c>
      <c r="D253">
        <v>3403</v>
      </c>
      <c r="E253">
        <v>-605</v>
      </c>
      <c r="F253">
        <v>-17.78</v>
      </c>
    </row>
    <row r="254" spans="1:6" x14ac:dyDescent="0.3">
      <c r="A254">
        <v>500387</v>
      </c>
      <c r="B254" s="2">
        <v>43891</v>
      </c>
      <c r="C254">
        <v>3144</v>
      </c>
      <c r="D254">
        <v>2798</v>
      </c>
      <c r="E254">
        <v>346</v>
      </c>
      <c r="F254">
        <v>12.37</v>
      </c>
    </row>
    <row r="255" spans="1:6" x14ac:dyDescent="0.3">
      <c r="A255">
        <v>500387</v>
      </c>
      <c r="B255" s="2">
        <v>44256</v>
      </c>
      <c r="C255">
        <v>2156</v>
      </c>
      <c r="D255">
        <v>3144</v>
      </c>
      <c r="E255">
        <v>-988</v>
      </c>
      <c r="F255">
        <v>-31.42</v>
      </c>
    </row>
    <row r="256" spans="1:6" x14ac:dyDescent="0.3">
      <c r="A256">
        <v>500387</v>
      </c>
      <c r="B256" s="2">
        <v>44621</v>
      </c>
      <c r="C256">
        <v>2209</v>
      </c>
      <c r="D256">
        <v>2156</v>
      </c>
      <c r="E256">
        <v>53</v>
      </c>
      <c r="F256">
        <v>2.46</v>
      </c>
    </row>
    <row r="257" spans="1:6" x14ac:dyDescent="0.3">
      <c r="A257">
        <v>500387</v>
      </c>
      <c r="B257" s="2">
        <v>44986</v>
      </c>
      <c r="C257">
        <v>2811</v>
      </c>
      <c r="D257">
        <v>2209</v>
      </c>
      <c r="E257">
        <v>602</v>
      </c>
      <c r="F257">
        <v>27.25</v>
      </c>
    </row>
    <row r="258" spans="1:6" x14ac:dyDescent="0.3">
      <c r="A258">
        <v>500400</v>
      </c>
      <c r="B258" s="2">
        <v>41334</v>
      </c>
      <c r="C258">
        <v>37882</v>
      </c>
      <c r="D258">
        <v>33860</v>
      </c>
      <c r="E258">
        <v>4022</v>
      </c>
      <c r="F258">
        <v>11.88</v>
      </c>
    </row>
    <row r="259" spans="1:6" x14ac:dyDescent="0.3">
      <c r="A259">
        <v>500400</v>
      </c>
      <c r="B259" s="2">
        <v>41699</v>
      </c>
      <c r="C259">
        <v>40173</v>
      </c>
      <c r="D259">
        <v>37882</v>
      </c>
      <c r="E259">
        <v>2291</v>
      </c>
      <c r="F259">
        <v>6.05</v>
      </c>
    </row>
    <row r="260" spans="1:6" x14ac:dyDescent="0.3">
      <c r="A260">
        <v>500400</v>
      </c>
      <c r="B260" s="2">
        <v>42064</v>
      </c>
      <c r="C260">
        <v>40607</v>
      </c>
      <c r="D260">
        <v>40173</v>
      </c>
      <c r="E260">
        <v>434</v>
      </c>
      <c r="F260">
        <v>1.08</v>
      </c>
    </row>
    <row r="261" spans="1:6" x14ac:dyDescent="0.3">
      <c r="A261">
        <v>500400</v>
      </c>
      <c r="B261" s="2">
        <v>42430</v>
      </c>
      <c r="C261">
        <v>38849</v>
      </c>
      <c r="D261">
        <v>40607</v>
      </c>
      <c r="E261">
        <v>-1758</v>
      </c>
      <c r="F261">
        <v>-4.33</v>
      </c>
    </row>
    <row r="262" spans="1:6" x14ac:dyDescent="0.3">
      <c r="A262">
        <v>500400</v>
      </c>
      <c r="B262" s="2">
        <v>42795</v>
      </c>
      <c r="C262">
        <v>48815</v>
      </c>
      <c r="D262">
        <v>38849</v>
      </c>
      <c r="E262">
        <v>9966</v>
      </c>
      <c r="F262">
        <v>25.65</v>
      </c>
    </row>
    <row r="263" spans="1:6" x14ac:dyDescent="0.3">
      <c r="A263">
        <v>500400</v>
      </c>
      <c r="B263" s="2">
        <v>43160</v>
      </c>
      <c r="C263">
        <v>48344</v>
      </c>
      <c r="D263">
        <v>48815</v>
      </c>
      <c r="E263">
        <v>-471</v>
      </c>
      <c r="F263">
        <v>-0.96</v>
      </c>
    </row>
    <row r="264" spans="1:6" x14ac:dyDescent="0.3">
      <c r="A264">
        <v>500400</v>
      </c>
      <c r="B264" s="2">
        <v>43525</v>
      </c>
      <c r="C264">
        <v>48506</v>
      </c>
      <c r="D264">
        <v>48344</v>
      </c>
      <c r="E264">
        <v>162</v>
      </c>
      <c r="F264">
        <v>0.34</v>
      </c>
    </row>
    <row r="265" spans="1:6" x14ac:dyDescent="0.3">
      <c r="A265">
        <v>500400</v>
      </c>
      <c r="B265" s="2">
        <v>43891</v>
      </c>
      <c r="C265">
        <v>51936</v>
      </c>
      <c r="D265">
        <v>48506</v>
      </c>
      <c r="E265">
        <v>3430</v>
      </c>
      <c r="F265">
        <v>7.07</v>
      </c>
    </row>
    <row r="266" spans="1:6" x14ac:dyDescent="0.3">
      <c r="A266">
        <v>500400</v>
      </c>
      <c r="B266" s="2">
        <v>44256</v>
      </c>
      <c r="C266">
        <v>46708</v>
      </c>
      <c r="D266">
        <v>51936</v>
      </c>
      <c r="E266">
        <v>-5228</v>
      </c>
      <c r="F266">
        <v>-10.07</v>
      </c>
    </row>
    <row r="267" spans="1:6" x14ac:dyDescent="0.3">
      <c r="A267">
        <v>500400</v>
      </c>
      <c r="B267" s="2">
        <v>44621</v>
      </c>
      <c r="C267">
        <v>51195</v>
      </c>
      <c r="D267">
        <v>46708</v>
      </c>
      <c r="E267">
        <v>4487</v>
      </c>
      <c r="F267">
        <v>9.61</v>
      </c>
    </row>
    <row r="268" spans="1:6" x14ac:dyDescent="0.3">
      <c r="A268">
        <v>500400</v>
      </c>
      <c r="B268" s="2">
        <v>44986</v>
      </c>
      <c r="C268">
        <v>52923</v>
      </c>
      <c r="D268">
        <v>51195</v>
      </c>
      <c r="E268">
        <v>1728</v>
      </c>
      <c r="F268">
        <v>3.38</v>
      </c>
    </row>
    <row r="269" spans="1:6" x14ac:dyDescent="0.3">
      <c r="A269">
        <v>500420</v>
      </c>
      <c r="B269" s="2">
        <v>40969</v>
      </c>
      <c r="C269">
        <v>579</v>
      </c>
      <c r="D269">
        <v>572</v>
      </c>
      <c r="E269">
        <v>7</v>
      </c>
      <c r="F269">
        <v>1.22</v>
      </c>
    </row>
    <row r="270" spans="1:6" x14ac:dyDescent="0.3">
      <c r="A270">
        <v>500420</v>
      </c>
      <c r="B270" s="2">
        <v>41334</v>
      </c>
      <c r="C270">
        <v>693</v>
      </c>
      <c r="D270">
        <v>579</v>
      </c>
      <c r="E270">
        <v>114</v>
      </c>
      <c r="F270">
        <v>19.690000000000001</v>
      </c>
    </row>
    <row r="271" spans="1:6" x14ac:dyDescent="0.3">
      <c r="A271">
        <v>500420</v>
      </c>
      <c r="B271" s="2">
        <v>41699</v>
      </c>
      <c r="C271">
        <v>1132</v>
      </c>
      <c r="D271">
        <v>693</v>
      </c>
      <c r="E271">
        <v>439</v>
      </c>
      <c r="F271">
        <v>63.35</v>
      </c>
    </row>
    <row r="272" spans="1:6" x14ac:dyDescent="0.3">
      <c r="A272">
        <v>500420</v>
      </c>
      <c r="B272" s="2">
        <v>42064</v>
      </c>
      <c r="C272">
        <v>2740</v>
      </c>
      <c r="D272">
        <v>1132</v>
      </c>
      <c r="E272">
        <v>1608</v>
      </c>
      <c r="F272">
        <v>142.05000000000001</v>
      </c>
    </row>
    <row r="273" spans="1:6" x14ac:dyDescent="0.3">
      <c r="A273">
        <v>500420</v>
      </c>
      <c r="B273" s="2">
        <v>42430</v>
      </c>
      <c r="C273">
        <v>2352</v>
      </c>
      <c r="D273">
        <v>2740</v>
      </c>
      <c r="E273">
        <v>-388</v>
      </c>
      <c r="F273">
        <v>-14.16</v>
      </c>
    </row>
    <row r="274" spans="1:6" x14ac:dyDescent="0.3">
      <c r="A274">
        <v>500420</v>
      </c>
      <c r="B274" s="2">
        <v>42795</v>
      </c>
      <c r="C274">
        <v>2510</v>
      </c>
      <c r="D274">
        <v>2352</v>
      </c>
      <c r="E274">
        <v>158</v>
      </c>
      <c r="F274">
        <v>6.72</v>
      </c>
    </row>
    <row r="275" spans="1:6" x14ac:dyDescent="0.3">
      <c r="A275">
        <v>500420</v>
      </c>
      <c r="B275" s="2">
        <v>43160</v>
      </c>
      <c r="C275">
        <v>6462</v>
      </c>
      <c r="D275">
        <v>2510</v>
      </c>
      <c r="E275">
        <v>3952</v>
      </c>
      <c r="F275">
        <v>157.44999999999999</v>
      </c>
    </row>
    <row r="276" spans="1:6" x14ac:dyDescent="0.3">
      <c r="A276">
        <v>500420</v>
      </c>
      <c r="B276" s="2">
        <v>43525</v>
      </c>
      <c r="C276">
        <v>6038</v>
      </c>
      <c r="D276">
        <v>6462</v>
      </c>
      <c r="E276">
        <v>-424</v>
      </c>
      <c r="F276">
        <v>-6.56</v>
      </c>
    </row>
    <row r="277" spans="1:6" x14ac:dyDescent="0.3">
      <c r="A277">
        <v>500420</v>
      </c>
      <c r="B277" s="2">
        <v>43891</v>
      </c>
      <c r="C277">
        <v>5784</v>
      </c>
      <c r="D277">
        <v>6038</v>
      </c>
      <c r="E277">
        <v>-254</v>
      </c>
      <c r="F277">
        <v>-4.21</v>
      </c>
    </row>
    <row r="278" spans="1:6" x14ac:dyDescent="0.3">
      <c r="A278">
        <v>500420</v>
      </c>
      <c r="B278" s="2">
        <v>44256</v>
      </c>
      <c r="C278">
        <v>4874</v>
      </c>
      <c r="D278">
        <v>5784</v>
      </c>
      <c r="E278">
        <v>-910</v>
      </c>
      <c r="F278">
        <v>-15.73</v>
      </c>
    </row>
    <row r="279" spans="1:6" x14ac:dyDescent="0.3">
      <c r="A279">
        <v>500420</v>
      </c>
      <c r="B279" s="2">
        <v>44621</v>
      </c>
      <c r="C279">
        <v>4070</v>
      </c>
      <c r="D279">
        <v>4874</v>
      </c>
      <c r="E279">
        <v>-804</v>
      </c>
      <c r="F279">
        <v>-16.5</v>
      </c>
    </row>
    <row r="280" spans="1:6" x14ac:dyDescent="0.3">
      <c r="A280">
        <v>500420</v>
      </c>
      <c r="B280" s="2">
        <v>44805</v>
      </c>
      <c r="C280">
        <v>4083</v>
      </c>
      <c r="D280">
        <v>4070</v>
      </c>
      <c r="E280">
        <v>13</v>
      </c>
      <c r="F280">
        <v>0.32</v>
      </c>
    </row>
    <row r="281" spans="1:6" x14ac:dyDescent="0.3">
      <c r="A281">
        <v>500425</v>
      </c>
      <c r="B281" s="2">
        <v>41244</v>
      </c>
      <c r="C281">
        <v>60</v>
      </c>
      <c r="D281">
        <v>69</v>
      </c>
      <c r="E281">
        <v>-9</v>
      </c>
      <c r="F281">
        <v>-13.04</v>
      </c>
    </row>
    <row r="282" spans="1:6" x14ac:dyDescent="0.3">
      <c r="A282">
        <v>500425</v>
      </c>
      <c r="B282" s="2">
        <v>41609</v>
      </c>
      <c r="C282">
        <v>48</v>
      </c>
      <c r="D282">
        <v>60</v>
      </c>
      <c r="E282">
        <v>-12</v>
      </c>
      <c r="F282">
        <v>-20</v>
      </c>
    </row>
    <row r="283" spans="1:6" x14ac:dyDescent="0.3">
      <c r="A283">
        <v>500425</v>
      </c>
      <c r="B283" s="2">
        <v>41974</v>
      </c>
      <c r="C283">
        <v>34</v>
      </c>
      <c r="D283">
        <v>48</v>
      </c>
      <c r="E283">
        <v>-14</v>
      </c>
      <c r="F283">
        <v>-29.17</v>
      </c>
    </row>
    <row r="284" spans="1:6" x14ac:dyDescent="0.3">
      <c r="A284">
        <v>500425</v>
      </c>
      <c r="B284" s="2">
        <v>42339</v>
      </c>
      <c r="C284">
        <v>35</v>
      </c>
      <c r="D284">
        <v>34</v>
      </c>
      <c r="E284">
        <v>1</v>
      </c>
      <c r="F284">
        <v>2.94</v>
      </c>
    </row>
    <row r="285" spans="1:6" x14ac:dyDescent="0.3">
      <c r="A285">
        <v>500425</v>
      </c>
      <c r="B285" s="2">
        <v>42705</v>
      </c>
      <c r="C285">
        <v>29</v>
      </c>
      <c r="D285">
        <v>35</v>
      </c>
      <c r="E285">
        <v>-6</v>
      </c>
      <c r="F285">
        <v>-17.14</v>
      </c>
    </row>
    <row r="286" spans="1:6" x14ac:dyDescent="0.3">
      <c r="A286">
        <v>500425</v>
      </c>
      <c r="B286" s="2">
        <v>43070</v>
      </c>
      <c r="C286">
        <v>24</v>
      </c>
      <c r="D286">
        <v>29</v>
      </c>
      <c r="E286">
        <v>-5</v>
      </c>
      <c r="F286">
        <v>-17.239999999999998</v>
      </c>
    </row>
    <row r="287" spans="1:6" x14ac:dyDescent="0.3">
      <c r="A287">
        <v>500425</v>
      </c>
      <c r="B287" s="2">
        <v>43435</v>
      </c>
      <c r="C287">
        <v>40</v>
      </c>
      <c r="D287">
        <v>24</v>
      </c>
      <c r="E287">
        <v>16</v>
      </c>
      <c r="F287">
        <v>66.67</v>
      </c>
    </row>
    <row r="288" spans="1:6" x14ac:dyDescent="0.3">
      <c r="A288">
        <v>500425</v>
      </c>
      <c r="B288" s="2">
        <v>43800</v>
      </c>
      <c r="C288">
        <v>41</v>
      </c>
      <c r="D288">
        <v>40</v>
      </c>
      <c r="E288">
        <v>1</v>
      </c>
      <c r="F288">
        <v>2.5</v>
      </c>
    </row>
    <row r="289" spans="1:6" x14ac:dyDescent="0.3">
      <c r="A289">
        <v>500425</v>
      </c>
      <c r="B289" s="2">
        <v>44166</v>
      </c>
      <c r="C289">
        <v>471</v>
      </c>
      <c r="D289">
        <v>41</v>
      </c>
      <c r="E289">
        <v>430</v>
      </c>
      <c r="F289">
        <v>1048.78</v>
      </c>
    </row>
    <row r="290" spans="1:6" x14ac:dyDescent="0.3">
      <c r="A290">
        <v>500425</v>
      </c>
      <c r="B290" s="2">
        <v>44531</v>
      </c>
      <c r="C290">
        <v>477</v>
      </c>
      <c r="D290">
        <v>471</v>
      </c>
      <c r="E290">
        <v>6</v>
      </c>
      <c r="F290">
        <v>1.27</v>
      </c>
    </row>
    <row r="291" spans="1:6" x14ac:dyDescent="0.3">
      <c r="A291">
        <v>500425</v>
      </c>
      <c r="B291" s="2">
        <v>44713</v>
      </c>
      <c r="C291">
        <v>475</v>
      </c>
      <c r="D291">
        <v>477</v>
      </c>
      <c r="E291">
        <v>-2</v>
      </c>
      <c r="F291">
        <v>-0.42</v>
      </c>
    </row>
    <row r="292" spans="1:6" x14ac:dyDescent="0.3">
      <c r="A292">
        <v>500440</v>
      </c>
      <c r="B292" s="2">
        <v>41334</v>
      </c>
      <c r="C292">
        <v>56951</v>
      </c>
      <c r="D292">
        <v>41016</v>
      </c>
      <c r="E292">
        <v>15935</v>
      </c>
      <c r="F292">
        <v>38.85</v>
      </c>
    </row>
    <row r="293" spans="1:6" x14ac:dyDescent="0.3">
      <c r="A293">
        <v>500440</v>
      </c>
      <c r="B293" s="2">
        <v>41699</v>
      </c>
      <c r="C293">
        <v>64756</v>
      </c>
      <c r="D293">
        <v>56951</v>
      </c>
      <c r="E293">
        <v>7805</v>
      </c>
      <c r="F293">
        <v>13.7</v>
      </c>
    </row>
    <row r="294" spans="1:6" x14ac:dyDescent="0.3">
      <c r="A294">
        <v>500440</v>
      </c>
      <c r="B294" s="2">
        <v>42064</v>
      </c>
      <c r="C294">
        <v>68468</v>
      </c>
      <c r="D294">
        <v>64756</v>
      </c>
      <c r="E294">
        <v>3712</v>
      </c>
      <c r="F294">
        <v>5.73</v>
      </c>
    </row>
    <row r="295" spans="1:6" x14ac:dyDescent="0.3">
      <c r="A295">
        <v>500440</v>
      </c>
      <c r="B295" s="2">
        <v>42430</v>
      </c>
      <c r="C295">
        <v>67552</v>
      </c>
      <c r="D295">
        <v>68468</v>
      </c>
      <c r="E295">
        <v>-916</v>
      </c>
      <c r="F295">
        <v>-1.34</v>
      </c>
    </row>
    <row r="296" spans="1:6" x14ac:dyDescent="0.3">
      <c r="A296">
        <v>500440</v>
      </c>
      <c r="B296" s="2">
        <v>42795</v>
      </c>
      <c r="C296">
        <v>63817</v>
      </c>
      <c r="D296">
        <v>67552</v>
      </c>
      <c r="E296">
        <v>-3735</v>
      </c>
      <c r="F296">
        <v>-5.53</v>
      </c>
    </row>
    <row r="297" spans="1:6" x14ac:dyDescent="0.3">
      <c r="A297">
        <v>500440</v>
      </c>
      <c r="B297" s="2">
        <v>43160</v>
      </c>
      <c r="C297">
        <v>52074</v>
      </c>
      <c r="D297">
        <v>63817</v>
      </c>
      <c r="E297">
        <v>-11743</v>
      </c>
      <c r="F297">
        <v>-18.399999999999999</v>
      </c>
    </row>
    <row r="298" spans="1:6" x14ac:dyDescent="0.3">
      <c r="A298">
        <v>500440</v>
      </c>
      <c r="B298" s="2">
        <v>43525</v>
      </c>
      <c r="C298">
        <v>52415</v>
      </c>
      <c r="D298">
        <v>52074</v>
      </c>
      <c r="E298">
        <v>341</v>
      </c>
      <c r="F298">
        <v>0.65</v>
      </c>
    </row>
    <row r="299" spans="1:6" x14ac:dyDescent="0.3">
      <c r="A299">
        <v>500440</v>
      </c>
      <c r="B299" s="2">
        <v>43891</v>
      </c>
      <c r="C299">
        <v>68399</v>
      </c>
      <c r="D299">
        <v>52415</v>
      </c>
      <c r="E299">
        <v>15984</v>
      </c>
      <c r="F299">
        <v>30.5</v>
      </c>
    </row>
    <row r="300" spans="1:6" x14ac:dyDescent="0.3">
      <c r="A300">
        <v>500440</v>
      </c>
      <c r="B300" s="2">
        <v>44256</v>
      </c>
      <c r="C300">
        <v>67206</v>
      </c>
      <c r="D300">
        <v>68399</v>
      </c>
      <c r="E300">
        <v>-1193</v>
      </c>
      <c r="F300">
        <v>-1.74</v>
      </c>
    </row>
    <row r="301" spans="1:6" x14ac:dyDescent="0.3">
      <c r="A301">
        <v>500440</v>
      </c>
      <c r="B301" s="2">
        <v>44621</v>
      </c>
      <c r="C301">
        <v>64486</v>
      </c>
      <c r="D301">
        <v>67206</v>
      </c>
      <c r="E301">
        <v>-2720</v>
      </c>
      <c r="F301">
        <v>-4.05</v>
      </c>
    </row>
    <row r="302" spans="1:6" x14ac:dyDescent="0.3">
      <c r="A302">
        <v>500440</v>
      </c>
      <c r="B302" s="2">
        <v>44986</v>
      </c>
      <c r="C302">
        <v>65926</v>
      </c>
      <c r="D302">
        <v>64486</v>
      </c>
      <c r="E302">
        <v>1440</v>
      </c>
      <c r="F302">
        <v>2.23</v>
      </c>
    </row>
    <row r="303" spans="1:6" x14ac:dyDescent="0.3">
      <c r="A303">
        <v>500470</v>
      </c>
      <c r="B303" s="2">
        <v>41334</v>
      </c>
      <c r="C303">
        <v>68507</v>
      </c>
      <c r="D303">
        <v>59897</v>
      </c>
      <c r="E303">
        <v>8610</v>
      </c>
      <c r="F303">
        <v>14.37</v>
      </c>
    </row>
    <row r="304" spans="1:6" x14ac:dyDescent="0.3">
      <c r="A304">
        <v>500470</v>
      </c>
      <c r="B304" s="2">
        <v>41699</v>
      </c>
      <c r="C304">
        <v>81609</v>
      </c>
      <c r="D304">
        <v>68507</v>
      </c>
      <c r="E304">
        <v>13102</v>
      </c>
      <c r="F304">
        <v>19.13</v>
      </c>
    </row>
    <row r="305" spans="1:6" x14ac:dyDescent="0.3">
      <c r="A305">
        <v>500470</v>
      </c>
      <c r="B305" s="2">
        <v>42064</v>
      </c>
      <c r="C305">
        <v>80701</v>
      </c>
      <c r="D305">
        <v>81609</v>
      </c>
      <c r="E305">
        <v>-908</v>
      </c>
      <c r="F305">
        <v>-1.1100000000000001</v>
      </c>
    </row>
    <row r="306" spans="1:6" x14ac:dyDescent="0.3">
      <c r="A306">
        <v>500470</v>
      </c>
      <c r="B306" s="2">
        <v>42430</v>
      </c>
      <c r="C306">
        <v>81987</v>
      </c>
      <c r="D306">
        <v>80701</v>
      </c>
      <c r="E306">
        <v>1286</v>
      </c>
      <c r="F306">
        <v>1.59</v>
      </c>
    </row>
    <row r="307" spans="1:6" x14ac:dyDescent="0.3">
      <c r="A307">
        <v>500470</v>
      </c>
      <c r="B307" s="2">
        <v>42795</v>
      </c>
      <c r="C307">
        <v>83014</v>
      </c>
      <c r="D307">
        <v>81987</v>
      </c>
      <c r="E307">
        <v>1027</v>
      </c>
      <c r="F307">
        <v>1.25</v>
      </c>
    </row>
    <row r="308" spans="1:6" x14ac:dyDescent="0.3">
      <c r="A308">
        <v>500470</v>
      </c>
      <c r="B308" s="2">
        <v>43160</v>
      </c>
      <c r="C308">
        <v>92127</v>
      </c>
      <c r="D308">
        <v>83014</v>
      </c>
      <c r="E308">
        <v>9113</v>
      </c>
      <c r="F308">
        <v>10.98</v>
      </c>
    </row>
    <row r="309" spans="1:6" x14ac:dyDescent="0.3">
      <c r="A309">
        <v>500470</v>
      </c>
      <c r="B309" s="2">
        <v>43525</v>
      </c>
      <c r="C309">
        <v>100803</v>
      </c>
      <c r="D309">
        <v>92127</v>
      </c>
      <c r="E309">
        <v>8676</v>
      </c>
      <c r="F309">
        <v>9.42</v>
      </c>
    </row>
    <row r="310" spans="1:6" x14ac:dyDescent="0.3">
      <c r="A310">
        <v>500470</v>
      </c>
      <c r="B310" s="2">
        <v>43891</v>
      </c>
      <c r="C310">
        <v>116328</v>
      </c>
      <c r="D310">
        <v>100803</v>
      </c>
      <c r="E310">
        <v>15525</v>
      </c>
      <c r="F310">
        <v>15.4</v>
      </c>
    </row>
    <row r="311" spans="1:6" x14ac:dyDescent="0.3">
      <c r="A311">
        <v>500470</v>
      </c>
      <c r="B311" s="2">
        <v>44256</v>
      </c>
      <c r="C311">
        <v>88501</v>
      </c>
      <c r="D311">
        <v>116328</v>
      </c>
      <c r="E311">
        <v>-27827</v>
      </c>
      <c r="F311">
        <v>-23.92</v>
      </c>
    </row>
    <row r="312" spans="1:6" x14ac:dyDescent="0.3">
      <c r="A312">
        <v>500470</v>
      </c>
      <c r="B312" s="2">
        <v>44621</v>
      </c>
      <c r="C312">
        <v>75561</v>
      </c>
      <c r="D312">
        <v>88501</v>
      </c>
      <c r="E312">
        <v>-12940</v>
      </c>
      <c r="F312">
        <v>-14.62</v>
      </c>
    </row>
    <row r="313" spans="1:6" x14ac:dyDescent="0.3">
      <c r="A313">
        <v>500470</v>
      </c>
      <c r="B313" s="2">
        <v>44986</v>
      </c>
      <c r="C313">
        <v>84893</v>
      </c>
      <c r="D313">
        <v>75561</v>
      </c>
      <c r="E313">
        <v>9332</v>
      </c>
      <c r="F313">
        <v>12.35</v>
      </c>
    </row>
    <row r="314" spans="1:6" x14ac:dyDescent="0.3">
      <c r="A314">
        <v>500490</v>
      </c>
      <c r="B314" s="2">
        <v>41334</v>
      </c>
      <c r="C314">
        <v>0</v>
      </c>
      <c r="D314">
        <v>0</v>
      </c>
      <c r="E314">
        <v>0</v>
      </c>
      <c r="F314" t="s">
        <v>8</v>
      </c>
    </row>
    <row r="315" spans="1:6" x14ac:dyDescent="0.3">
      <c r="A315">
        <v>500490</v>
      </c>
      <c r="B315" s="2">
        <v>41699</v>
      </c>
      <c r="C315">
        <v>0</v>
      </c>
      <c r="D315">
        <v>0</v>
      </c>
      <c r="E315">
        <v>0</v>
      </c>
      <c r="F315" t="s">
        <v>8</v>
      </c>
    </row>
    <row r="316" spans="1:6" x14ac:dyDescent="0.3">
      <c r="A316">
        <v>500490</v>
      </c>
      <c r="B316" s="2">
        <v>42064</v>
      </c>
      <c r="C316">
        <v>0</v>
      </c>
      <c r="D316">
        <v>0</v>
      </c>
      <c r="E316">
        <v>0</v>
      </c>
      <c r="F316" t="s">
        <v>8</v>
      </c>
    </row>
    <row r="317" spans="1:6" x14ac:dyDescent="0.3">
      <c r="A317">
        <v>500490</v>
      </c>
      <c r="B317" s="2">
        <v>42430</v>
      </c>
      <c r="C317">
        <v>0</v>
      </c>
      <c r="D317">
        <v>0</v>
      </c>
      <c r="E317">
        <v>0</v>
      </c>
      <c r="F317" t="s">
        <v>8</v>
      </c>
    </row>
    <row r="318" spans="1:6" x14ac:dyDescent="0.3">
      <c r="A318">
        <v>500490</v>
      </c>
      <c r="B318" s="2">
        <v>42795</v>
      </c>
      <c r="C318">
        <v>0</v>
      </c>
      <c r="D318">
        <v>0</v>
      </c>
      <c r="E318">
        <v>0</v>
      </c>
      <c r="F318" t="s">
        <v>8</v>
      </c>
    </row>
    <row r="319" spans="1:6" x14ac:dyDescent="0.3">
      <c r="A319">
        <v>500490</v>
      </c>
      <c r="B319" s="2">
        <v>43160</v>
      </c>
      <c r="C319">
        <v>0</v>
      </c>
      <c r="D319">
        <v>0</v>
      </c>
      <c r="E319">
        <v>0</v>
      </c>
      <c r="F319" t="s">
        <v>8</v>
      </c>
    </row>
    <row r="320" spans="1:6" x14ac:dyDescent="0.3">
      <c r="A320">
        <v>500490</v>
      </c>
      <c r="B320" s="2">
        <v>43525</v>
      </c>
      <c r="C320">
        <v>0</v>
      </c>
      <c r="D320">
        <v>0</v>
      </c>
      <c r="E320">
        <v>0</v>
      </c>
      <c r="F320" t="s">
        <v>8</v>
      </c>
    </row>
    <row r="321" spans="1:6" x14ac:dyDescent="0.3">
      <c r="A321">
        <v>500490</v>
      </c>
      <c r="B321" s="2">
        <v>43891</v>
      </c>
      <c r="C321">
        <v>168</v>
      </c>
      <c r="D321">
        <v>0</v>
      </c>
      <c r="E321">
        <v>168</v>
      </c>
      <c r="F321" t="s">
        <v>8</v>
      </c>
    </row>
    <row r="322" spans="1:6" x14ac:dyDescent="0.3">
      <c r="A322">
        <v>500490</v>
      </c>
      <c r="B322" s="2">
        <v>44256</v>
      </c>
      <c r="C322">
        <v>136</v>
      </c>
      <c r="D322">
        <v>168</v>
      </c>
      <c r="E322">
        <v>-32</v>
      </c>
      <c r="F322">
        <v>-19.05</v>
      </c>
    </row>
    <row r="323" spans="1:6" x14ac:dyDescent="0.3">
      <c r="A323">
        <v>500490</v>
      </c>
      <c r="B323" s="2">
        <v>44621</v>
      </c>
      <c r="C323">
        <v>114</v>
      </c>
      <c r="D323">
        <v>136</v>
      </c>
      <c r="E323">
        <v>-22</v>
      </c>
      <c r="F323">
        <v>-16.18</v>
      </c>
    </row>
    <row r="324" spans="1:6" x14ac:dyDescent="0.3">
      <c r="A324">
        <v>500490</v>
      </c>
      <c r="B324" s="2">
        <v>44986</v>
      </c>
      <c r="C324">
        <v>93</v>
      </c>
      <c r="D324">
        <v>114</v>
      </c>
      <c r="E324">
        <v>-21</v>
      </c>
      <c r="F324">
        <v>-18.420000000000002</v>
      </c>
    </row>
    <row r="325" spans="1:6" x14ac:dyDescent="0.3">
      <c r="A325">
        <v>500510</v>
      </c>
      <c r="B325" s="2">
        <v>41334</v>
      </c>
      <c r="C325">
        <v>63144</v>
      </c>
      <c r="D325">
        <v>51568</v>
      </c>
      <c r="E325">
        <v>11576</v>
      </c>
      <c r="F325">
        <v>22.45</v>
      </c>
    </row>
    <row r="326" spans="1:6" x14ac:dyDescent="0.3">
      <c r="A326">
        <v>500510</v>
      </c>
      <c r="B326" s="2">
        <v>41699</v>
      </c>
      <c r="C326">
        <v>80846</v>
      </c>
      <c r="D326">
        <v>63144</v>
      </c>
      <c r="E326">
        <v>17702</v>
      </c>
      <c r="F326">
        <v>28.03</v>
      </c>
    </row>
    <row r="327" spans="1:6" x14ac:dyDescent="0.3">
      <c r="A327">
        <v>500510</v>
      </c>
      <c r="B327" s="2">
        <v>42064</v>
      </c>
      <c r="C327">
        <v>93630</v>
      </c>
      <c r="D327">
        <v>80846</v>
      </c>
      <c r="E327">
        <v>12784</v>
      </c>
      <c r="F327">
        <v>15.81</v>
      </c>
    </row>
    <row r="328" spans="1:6" x14ac:dyDescent="0.3">
      <c r="A328">
        <v>500510</v>
      </c>
      <c r="B328" s="2">
        <v>42430</v>
      </c>
      <c r="C328">
        <v>86822</v>
      </c>
      <c r="D328">
        <v>93630</v>
      </c>
      <c r="E328">
        <v>-6808</v>
      </c>
      <c r="F328">
        <v>-7.27</v>
      </c>
    </row>
    <row r="329" spans="1:6" x14ac:dyDescent="0.3">
      <c r="A329">
        <v>500510</v>
      </c>
      <c r="B329" s="2">
        <v>42795</v>
      </c>
      <c r="C329">
        <v>92807</v>
      </c>
      <c r="D329">
        <v>86822</v>
      </c>
      <c r="E329">
        <v>5985</v>
      </c>
      <c r="F329">
        <v>6.89</v>
      </c>
    </row>
    <row r="330" spans="1:6" x14ac:dyDescent="0.3">
      <c r="A330">
        <v>500510</v>
      </c>
      <c r="B330" s="2">
        <v>43160</v>
      </c>
      <c r="C330">
        <v>106619</v>
      </c>
      <c r="D330">
        <v>92807</v>
      </c>
      <c r="E330">
        <v>13812</v>
      </c>
      <c r="F330">
        <v>14.88</v>
      </c>
    </row>
    <row r="331" spans="1:6" x14ac:dyDescent="0.3">
      <c r="A331">
        <v>500510</v>
      </c>
      <c r="B331" s="2">
        <v>43525</v>
      </c>
      <c r="C331">
        <v>124579</v>
      </c>
      <c r="D331">
        <v>106619</v>
      </c>
      <c r="E331">
        <v>17960</v>
      </c>
      <c r="F331">
        <v>16.850000000000001</v>
      </c>
    </row>
    <row r="332" spans="1:6" x14ac:dyDescent="0.3">
      <c r="A332">
        <v>500510</v>
      </c>
      <c r="B332" s="2">
        <v>43891</v>
      </c>
      <c r="C332">
        <v>141770</v>
      </c>
      <c r="D332">
        <v>124579</v>
      </c>
      <c r="E332">
        <v>17191</v>
      </c>
      <c r="F332">
        <v>13.8</v>
      </c>
    </row>
    <row r="333" spans="1:6" x14ac:dyDescent="0.3">
      <c r="A333">
        <v>500510</v>
      </c>
      <c r="B333" s="2">
        <v>44256</v>
      </c>
      <c r="C333">
        <v>133505</v>
      </c>
      <c r="D333">
        <v>141770</v>
      </c>
      <c r="E333">
        <v>-8265</v>
      </c>
      <c r="F333">
        <v>-5.83</v>
      </c>
    </row>
    <row r="334" spans="1:6" x14ac:dyDescent="0.3">
      <c r="A334">
        <v>500510</v>
      </c>
      <c r="B334" s="2">
        <v>44621</v>
      </c>
      <c r="C334">
        <v>125292</v>
      </c>
      <c r="D334">
        <v>133505</v>
      </c>
      <c r="E334">
        <v>-8213</v>
      </c>
      <c r="F334">
        <v>-6.15</v>
      </c>
    </row>
    <row r="335" spans="1:6" x14ac:dyDescent="0.3">
      <c r="A335">
        <v>500510</v>
      </c>
      <c r="B335" s="2">
        <v>44986</v>
      </c>
      <c r="C335">
        <v>120650</v>
      </c>
      <c r="D335">
        <v>125292</v>
      </c>
      <c r="E335">
        <v>-4642</v>
      </c>
      <c r="F335">
        <v>-3.7</v>
      </c>
    </row>
    <row r="336" spans="1:6" x14ac:dyDescent="0.3">
      <c r="A336">
        <v>500520</v>
      </c>
      <c r="B336" s="2">
        <v>41334</v>
      </c>
      <c r="C336">
        <v>28711</v>
      </c>
      <c r="D336">
        <v>23121</v>
      </c>
      <c r="E336">
        <v>5590</v>
      </c>
      <c r="F336">
        <v>24.18</v>
      </c>
    </row>
    <row r="337" spans="1:6" x14ac:dyDescent="0.3">
      <c r="A337">
        <v>500520</v>
      </c>
      <c r="B337" s="2">
        <v>41699</v>
      </c>
      <c r="C337">
        <v>35167</v>
      </c>
      <c r="D337">
        <v>28711</v>
      </c>
      <c r="E337">
        <v>6456</v>
      </c>
      <c r="F337">
        <v>22.49</v>
      </c>
    </row>
    <row r="338" spans="1:6" x14ac:dyDescent="0.3">
      <c r="A338">
        <v>500520</v>
      </c>
      <c r="B338" s="2">
        <v>42064</v>
      </c>
      <c r="C338">
        <v>37911</v>
      </c>
      <c r="D338">
        <v>35167</v>
      </c>
      <c r="E338">
        <v>2744</v>
      </c>
      <c r="F338">
        <v>7.8</v>
      </c>
    </row>
    <row r="339" spans="1:6" x14ac:dyDescent="0.3">
      <c r="A339">
        <v>500520</v>
      </c>
      <c r="B339" s="2">
        <v>42430</v>
      </c>
      <c r="C339">
        <v>41553</v>
      </c>
      <c r="D339">
        <v>37911</v>
      </c>
      <c r="E339">
        <v>3642</v>
      </c>
      <c r="F339">
        <v>9.61</v>
      </c>
    </row>
    <row r="340" spans="1:6" x14ac:dyDescent="0.3">
      <c r="A340">
        <v>500520</v>
      </c>
      <c r="B340" s="2">
        <v>42795</v>
      </c>
      <c r="C340">
        <v>48762</v>
      </c>
      <c r="D340">
        <v>41553</v>
      </c>
      <c r="E340">
        <v>7209</v>
      </c>
      <c r="F340">
        <v>17.350000000000001</v>
      </c>
    </row>
    <row r="341" spans="1:6" x14ac:dyDescent="0.3">
      <c r="A341">
        <v>500520</v>
      </c>
      <c r="B341" s="2">
        <v>43160</v>
      </c>
      <c r="C341">
        <v>55898</v>
      </c>
      <c r="D341">
        <v>48762</v>
      </c>
      <c r="E341">
        <v>7136</v>
      </c>
      <c r="F341">
        <v>14.63</v>
      </c>
    </row>
    <row r="342" spans="1:6" x14ac:dyDescent="0.3">
      <c r="A342">
        <v>500520</v>
      </c>
      <c r="B342" s="2">
        <v>43525</v>
      </c>
      <c r="C342">
        <v>70848</v>
      </c>
      <c r="D342">
        <v>55898</v>
      </c>
      <c r="E342">
        <v>14950</v>
      </c>
      <c r="F342">
        <v>26.75</v>
      </c>
    </row>
    <row r="343" spans="1:6" x14ac:dyDescent="0.3">
      <c r="A343">
        <v>500520</v>
      </c>
      <c r="B343" s="2">
        <v>43891</v>
      </c>
      <c r="C343">
        <v>82092</v>
      </c>
      <c r="D343">
        <v>70848</v>
      </c>
      <c r="E343">
        <v>11244</v>
      </c>
      <c r="F343">
        <v>15.87</v>
      </c>
    </row>
    <row r="344" spans="1:6" x14ac:dyDescent="0.3">
      <c r="A344">
        <v>500520</v>
      </c>
      <c r="B344" s="2">
        <v>44256</v>
      </c>
      <c r="C344">
        <v>80625</v>
      </c>
      <c r="D344">
        <v>82092</v>
      </c>
      <c r="E344">
        <v>-1467</v>
      </c>
      <c r="F344">
        <v>-1.79</v>
      </c>
    </row>
    <row r="345" spans="1:6" x14ac:dyDescent="0.3">
      <c r="A345">
        <v>500520</v>
      </c>
      <c r="B345" s="2">
        <v>44621</v>
      </c>
      <c r="C345">
        <v>77605</v>
      </c>
      <c r="D345">
        <v>80625</v>
      </c>
      <c r="E345">
        <v>-3020</v>
      </c>
      <c r="F345">
        <v>-3.75</v>
      </c>
    </row>
    <row r="346" spans="1:6" x14ac:dyDescent="0.3">
      <c r="A346">
        <v>500520</v>
      </c>
      <c r="B346" s="2">
        <v>44986</v>
      </c>
      <c r="C346">
        <v>92247</v>
      </c>
      <c r="D346">
        <v>77605</v>
      </c>
      <c r="E346">
        <v>14642</v>
      </c>
      <c r="F346">
        <v>18.87</v>
      </c>
    </row>
    <row r="347" spans="1:6" x14ac:dyDescent="0.3">
      <c r="A347">
        <v>500530</v>
      </c>
      <c r="B347" s="2">
        <v>41244</v>
      </c>
      <c r="C347">
        <v>230</v>
      </c>
      <c r="D347">
        <v>307</v>
      </c>
      <c r="E347">
        <v>-77</v>
      </c>
      <c r="F347">
        <v>-25.08</v>
      </c>
    </row>
    <row r="348" spans="1:6" x14ac:dyDescent="0.3">
      <c r="A348">
        <v>500530</v>
      </c>
      <c r="B348" s="2">
        <v>41609</v>
      </c>
      <c r="C348">
        <v>183</v>
      </c>
      <c r="D348">
        <v>230</v>
      </c>
      <c r="E348">
        <v>-47</v>
      </c>
      <c r="F348">
        <v>-20.43</v>
      </c>
    </row>
    <row r="349" spans="1:6" x14ac:dyDescent="0.3">
      <c r="A349">
        <v>500530</v>
      </c>
      <c r="B349" s="2">
        <v>42064</v>
      </c>
      <c r="C349">
        <v>111</v>
      </c>
      <c r="D349">
        <v>183</v>
      </c>
      <c r="E349">
        <v>-72</v>
      </c>
      <c r="F349">
        <v>-39.340000000000003</v>
      </c>
    </row>
    <row r="350" spans="1:6" x14ac:dyDescent="0.3">
      <c r="A350">
        <v>500530</v>
      </c>
      <c r="B350" s="2">
        <v>42430</v>
      </c>
      <c r="C350">
        <v>50</v>
      </c>
      <c r="D350">
        <v>111</v>
      </c>
      <c r="E350">
        <v>-61</v>
      </c>
      <c r="F350">
        <v>-54.95</v>
      </c>
    </row>
    <row r="351" spans="1:6" x14ac:dyDescent="0.3">
      <c r="A351">
        <v>500530</v>
      </c>
      <c r="B351" s="2">
        <v>42795</v>
      </c>
      <c r="C351">
        <v>0</v>
      </c>
      <c r="D351">
        <v>50</v>
      </c>
      <c r="E351">
        <v>-50</v>
      </c>
      <c r="F351">
        <v>-100</v>
      </c>
    </row>
    <row r="352" spans="1:6" x14ac:dyDescent="0.3">
      <c r="A352">
        <v>500530</v>
      </c>
      <c r="B352" s="2">
        <v>43160</v>
      </c>
      <c r="C352">
        <v>0</v>
      </c>
      <c r="D352">
        <v>0</v>
      </c>
      <c r="E352">
        <v>0</v>
      </c>
      <c r="F352" t="s">
        <v>8</v>
      </c>
    </row>
    <row r="353" spans="1:6" x14ac:dyDescent="0.3">
      <c r="A353">
        <v>500530</v>
      </c>
      <c r="B353" s="2">
        <v>43525</v>
      </c>
      <c r="C353">
        <v>0</v>
      </c>
      <c r="D353">
        <v>0</v>
      </c>
      <c r="E353">
        <v>0</v>
      </c>
      <c r="F353" t="s">
        <v>8</v>
      </c>
    </row>
    <row r="354" spans="1:6" x14ac:dyDescent="0.3">
      <c r="A354">
        <v>500530</v>
      </c>
      <c r="B354" s="2">
        <v>43891</v>
      </c>
      <c r="C354">
        <v>74</v>
      </c>
      <c r="D354">
        <v>0</v>
      </c>
      <c r="E354">
        <v>74</v>
      </c>
      <c r="F354" t="s">
        <v>8</v>
      </c>
    </row>
    <row r="355" spans="1:6" x14ac:dyDescent="0.3">
      <c r="A355">
        <v>500530</v>
      </c>
      <c r="B355" s="2">
        <v>44256</v>
      </c>
      <c r="C355">
        <v>54</v>
      </c>
      <c r="D355">
        <v>74</v>
      </c>
      <c r="E355">
        <v>-20</v>
      </c>
      <c r="F355">
        <v>-27.03</v>
      </c>
    </row>
    <row r="356" spans="1:6" x14ac:dyDescent="0.3">
      <c r="A356">
        <v>500530</v>
      </c>
      <c r="B356" s="2">
        <v>44621</v>
      </c>
      <c r="C356">
        <v>73</v>
      </c>
      <c r="D356">
        <v>54</v>
      </c>
      <c r="E356">
        <v>19</v>
      </c>
      <c r="F356">
        <v>35.19</v>
      </c>
    </row>
    <row r="357" spans="1:6" x14ac:dyDescent="0.3">
      <c r="A357">
        <v>500530</v>
      </c>
      <c r="B357" s="2">
        <v>44986</v>
      </c>
      <c r="C357">
        <v>53</v>
      </c>
      <c r="D357">
        <v>73</v>
      </c>
      <c r="E357">
        <v>-20</v>
      </c>
      <c r="F357">
        <v>-27.4</v>
      </c>
    </row>
    <row r="358" spans="1:6" x14ac:dyDescent="0.3">
      <c r="A358">
        <v>500547</v>
      </c>
      <c r="B358" s="2">
        <v>41334</v>
      </c>
      <c r="C358">
        <v>33157</v>
      </c>
      <c r="D358">
        <v>30153</v>
      </c>
      <c r="E358">
        <v>3004</v>
      </c>
      <c r="F358">
        <v>9.9600000000000009</v>
      </c>
    </row>
    <row r="359" spans="1:6" x14ac:dyDescent="0.3">
      <c r="A359">
        <v>500547</v>
      </c>
      <c r="B359" s="2">
        <v>41699</v>
      </c>
      <c r="C359">
        <v>33152</v>
      </c>
      <c r="D359">
        <v>33157</v>
      </c>
      <c r="E359">
        <v>-5</v>
      </c>
      <c r="F359">
        <v>-0.02</v>
      </c>
    </row>
    <row r="360" spans="1:6" x14ac:dyDescent="0.3">
      <c r="A360">
        <v>500547</v>
      </c>
      <c r="B360" s="2">
        <v>42064</v>
      </c>
      <c r="C360">
        <v>25492</v>
      </c>
      <c r="D360">
        <v>33152</v>
      </c>
      <c r="E360">
        <v>-7660</v>
      </c>
      <c r="F360">
        <v>-23.11</v>
      </c>
    </row>
    <row r="361" spans="1:6" x14ac:dyDescent="0.3">
      <c r="A361">
        <v>500547</v>
      </c>
      <c r="B361" s="2">
        <v>42430</v>
      </c>
      <c r="C361">
        <v>23388</v>
      </c>
      <c r="D361">
        <v>25492</v>
      </c>
      <c r="E361">
        <v>-2104</v>
      </c>
      <c r="F361">
        <v>-8.25</v>
      </c>
    </row>
    <row r="362" spans="1:6" x14ac:dyDescent="0.3">
      <c r="A362">
        <v>500547</v>
      </c>
      <c r="B362" s="2">
        <v>42795</v>
      </c>
      <c r="C362">
        <v>35725</v>
      </c>
      <c r="D362">
        <v>23388</v>
      </c>
      <c r="E362">
        <v>12337</v>
      </c>
      <c r="F362">
        <v>52.75</v>
      </c>
    </row>
    <row r="363" spans="1:6" x14ac:dyDescent="0.3">
      <c r="A363">
        <v>500547</v>
      </c>
      <c r="B363" s="2">
        <v>43160</v>
      </c>
      <c r="C363">
        <v>37659</v>
      </c>
      <c r="D363">
        <v>35725</v>
      </c>
      <c r="E363">
        <v>1934</v>
      </c>
      <c r="F363">
        <v>5.41</v>
      </c>
    </row>
    <row r="364" spans="1:6" x14ac:dyDescent="0.3">
      <c r="A364">
        <v>500547</v>
      </c>
      <c r="B364" s="2">
        <v>43525</v>
      </c>
      <c r="C364">
        <v>44839</v>
      </c>
      <c r="D364">
        <v>37659</v>
      </c>
      <c r="E364">
        <v>7180</v>
      </c>
      <c r="F364">
        <v>19.07</v>
      </c>
    </row>
    <row r="365" spans="1:6" x14ac:dyDescent="0.3">
      <c r="A365">
        <v>500547</v>
      </c>
      <c r="B365" s="2">
        <v>43891</v>
      </c>
      <c r="C365">
        <v>65476</v>
      </c>
      <c r="D365">
        <v>44839</v>
      </c>
      <c r="E365">
        <v>20637</v>
      </c>
      <c r="F365">
        <v>46.02</v>
      </c>
    </row>
    <row r="366" spans="1:6" x14ac:dyDescent="0.3">
      <c r="A366">
        <v>500547</v>
      </c>
      <c r="B366" s="2">
        <v>44256</v>
      </c>
      <c r="C366">
        <v>54532</v>
      </c>
      <c r="D366">
        <v>65476</v>
      </c>
      <c r="E366">
        <v>-10944</v>
      </c>
      <c r="F366">
        <v>-16.71</v>
      </c>
    </row>
    <row r="367" spans="1:6" x14ac:dyDescent="0.3">
      <c r="A367">
        <v>500547</v>
      </c>
      <c r="B367" s="2">
        <v>44621</v>
      </c>
      <c r="C367">
        <v>64534</v>
      </c>
      <c r="D367">
        <v>54532</v>
      </c>
      <c r="E367">
        <v>10002</v>
      </c>
      <c r="F367">
        <v>18.34</v>
      </c>
    </row>
    <row r="368" spans="1:6" x14ac:dyDescent="0.3">
      <c r="A368">
        <v>500547</v>
      </c>
      <c r="B368" s="2">
        <v>44986</v>
      </c>
      <c r="C368">
        <v>69376</v>
      </c>
      <c r="D368">
        <v>64534</v>
      </c>
      <c r="E368">
        <v>4842</v>
      </c>
      <c r="F368">
        <v>7.5</v>
      </c>
    </row>
    <row r="369" spans="1:6" x14ac:dyDescent="0.3">
      <c r="A369">
        <v>500550</v>
      </c>
      <c r="B369" s="2">
        <v>40787</v>
      </c>
      <c r="C369">
        <v>0</v>
      </c>
      <c r="D369">
        <v>184</v>
      </c>
      <c r="E369">
        <v>-184</v>
      </c>
      <c r="F369">
        <v>-100</v>
      </c>
    </row>
    <row r="370" spans="1:6" x14ac:dyDescent="0.3">
      <c r="A370">
        <v>500550</v>
      </c>
      <c r="B370" s="2">
        <v>41153</v>
      </c>
      <c r="C370">
        <v>0</v>
      </c>
      <c r="D370">
        <v>0</v>
      </c>
      <c r="E370">
        <v>0</v>
      </c>
      <c r="F370" t="s">
        <v>8</v>
      </c>
    </row>
    <row r="371" spans="1:6" x14ac:dyDescent="0.3">
      <c r="A371">
        <v>500550</v>
      </c>
      <c r="B371" s="2">
        <v>41518</v>
      </c>
      <c r="C371">
        <v>0</v>
      </c>
      <c r="D371">
        <v>0</v>
      </c>
      <c r="E371">
        <v>0</v>
      </c>
      <c r="F371" t="s">
        <v>8</v>
      </c>
    </row>
    <row r="372" spans="1:6" x14ac:dyDescent="0.3">
      <c r="A372">
        <v>500550</v>
      </c>
      <c r="B372" s="2">
        <v>41883</v>
      </c>
      <c r="C372">
        <v>0</v>
      </c>
      <c r="D372">
        <v>0</v>
      </c>
      <c r="E372">
        <v>0</v>
      </c>
      <c r="F372" t="s">
        <v>8</v>
      </c>
    </row>
    <row r="373" spans="1:6" x14ac:dyDescent="0.3">
      <c r="A373">
        <v>500550</v>
      </c>
      <c r="B373" s="2">
        <v>42248</v>
      </c>
      <c r="C373">
        <v>0</v>
      </c>
      <c r="D373">
        <v>0</v>
      </c>
      <c r="E373">
        <v>0</v>
      </c>
      <c r="F373" t="s">
        <v>8</v>
      </c>
    </row>
    <row r="374" spans="1:6" x14ac:dyDescent="0.3">
      <c r="A374">
        <v>500550</v>
      </c>
      <c r="B374" s="2">
        <v>42614</v>
      </c>
      <c r="C374">
        <v>0</v>
      </c>
      <c r="D374">
        <v>0</v>
      </c>
      <c r="E374">
        <v>0</v>
      </c>
      <c r="F374" t="s">
        <v>8</v>
      </c>
    </row>
    <row r="375" spans="1:6" x14ac:dyDescent="0.3">
      <c r="A375">
        <v>500550</v>
      </c>
      <c r="B375" s="2">
        <v>42979</v>
      </c>
      <c r="C375">
        <v>0</v>
      </c>
      <c r="D375">
        <v>0</v>
      </c>
      <c r="E375">
        <v>0</v>
      </c>
      <c r="F375" t="s">
        <v>8</v>
      </c>
    </row>
    <row r="376" spans="1:6" x14ac:dyDescent="0.3">
      <c r="A376">
        <v>500550</v>
      </c>
      <c r="B376" s="2">
        <v>43344</v>
      </c>
      <c r="C376">
        <v>0</v>
      </c>
      <c r="D376">
        <v>0</v>
      </c>
      <c r="E376">
        <v>0</v>
      </c>
      <c r="F376" t="s">
        <v>8</v>
      </c>
    </row>
    <row r="377" spans="1:6" x14ac:dyDescent="0.3">
      <c r="A377">
        <v>500550</v>
      </c>
      <c r="B377" s="2">
        <v>43709</v>
      </c>
      <c r="C377">
        <v>0</v>
      </c>
      <c r="D377">
        <v>0</v>
      </c>
      <c r="E377">
        <v>0</v>
      </c>
      <c r="F377" t="s">
        <v>8</v>
      </c>
    </row>
    <row r="378" spans="1:6" x14ac:dyDescent="0.3">
      <c r="A378">
        <v>500550</v>
      </c>
      <c r="B378" s="2">
        <v>44075</v>
      </c>
      <c r="C378">
        <v>206</v>
      </c>
      <c r="D378">
        <v>0</v>
      </c>
      <c r="E378">
        <v>206</v>
      </c>
      <c r="F378" t="s">
        <v>8</v>
      </c>
    </row>
    <row r="379" spans="1:6" x14ac:dyDescent="0.3">
      <c r="A379">
        <v>500550</v>
      </c>
      <c r="B379" s="2">
        <v>44440</v>
      </c>
      <c r="C379">
        <v>196</v>
      </c>
      <c r="D379">
        <v>206</v>
      </c>
      <c r="E379">
        <v>-10</v>
      </c>
      <c r="F379">
        <v>-4.8499999999999996</v>
      </c>
    </row>
    <row r="380" spans="1:6" x14ac:dyDescent="0.3">
      <c r="A380">
        <v>500550</v>
      </c>
      <c r="B380" s="2">
        <v>44805</v>
      </c>
      <c r="C380">
        <v>160</v>
      </c>
      <c r="D380">
        <v>196</v>
      </c>
      <c r="E380">
        <v>-36</v>
      </c>
      <c r="F380">
        <v>-18.37</v>
      </c>
    </row>
    <row r="381" spans="1:6" x14ac:dyDescent="0.3">
      <c r="A381">
        <v>500570</v>
      </c>
      <c r="B381" s="2">
        <v>41334</v>
      </c>
      <c r="C381">
        <v>53716</v>
      </c>
      <c r="D381">
        <v>47149</v>
      </c>
      <c r="E381">
        <v>6567</v>
      </c>
      <c r="F381">
        <v>13.93</v>
      </c>
    </row>
    <row r="382" spans="1:6" x14ac:dyDescent="0.3">
      <c r="A382">
        <v>500570</v>
      </c>
      <c r="B382" s="2">
        <v>41699</v>
      </c>
      <c r="C382">
        <v>60642</v>
      </c>
      <c r="D382">
        <v>53716</v>
      </c>
      <c r="E382">
        <v>6926</v>
      </c>
      <c r="F382">
        <v>12.89</v>
      </c>
    </row>
    <row r="383" spans="1:6" x14ac:dyDescent="0.3">
      <c r="A383">
        <v>500570</v>
      </c>
      <c r="B383" s="2">
        <v>42064</v>
      </c>
      <c r="C383">
        <v>73610</v>
      </c>
      <c r="D383">
        <v>60642</v>
      </c>
      <c r="E383">
        <v>12968</v>
      </c>
      <c r="F383">
        <v>21.38</v>
      </c>
    </row>
    <row r="384" spans="1:6" x14ac:dyDescent="0.3">
      <c r="A384">
        <v>500570</v>
      </c>
      <c r="B384" s="2">
        <v>42430</v>
      </c>
      <c r="C384">
        <v>69360</v>
      </c>
      <c r="D384">
        <v>73610</v>
      </c>
      <c r="E384">
        <v>-4250</v>
      </c>
      <c r="F384">
        <v>-5.77</v>
      </c>
    </row>
    <row r="385" spans="1:6" x14ac:dyDescent="0.3">
      <c r="A385">
        <v>500570</v>
      </c>
      <c r="B385" s="2">
        <v>42795</v>
      </c>
      <c r="C385">
        <v>78604</v>
      </c>
      <c r="D385">
        <v>69360</v>
      </c>
      <c r="E385">
        <v>9244</v>
      </c>
      <c r="F385">
        <v>13.33</v>
      </c>
    </row>
    <row r="386" spans="1:6" x14ac:dyDescent="0.3">
      <c r="A386">
        <v>500570</v>
      </c>
      <c r="B386" s="2">
        <v>43160</v>
      </c>
      <c r="C386">
        <v>88950</v>
      </c>
      <c r="D386">
        <v>78604</v>
      </c>
      <c r="E386">
        <v>10346</v>
      </c>
      <c r="F386">
        <v>13.16</v>
      </c>
    </row>
    <row r="387" spans="1:6" x14ac:dyDescent="0.3">
      <c r="A387">
        <v>500570</v>
      </c>
      <c r="B387" s="2">
        <v>43525</v>
      </c>
      <c r="C387">
        <v>106175</v>
      </c>
      <c r="D387">
        <v>88950</v>
      </c>
      <c r="E387">
        <v>17225</v>
      </c>
      <c r="F387">
        <v>19.36</v>
      </c>
    </row>
    <row r="388" spans="1:6" x14ac:dyDescent="0.3">
      <c r="A388">
        <v>500570</v>
      </c>
      <c r="B388" s="2">
        <v>43891</v>
      </c>
      <c r="C388">
        <v>124788</v>
      </c>
      <c r="D388">
        <v>106175</v>
      </c>
      <c r="E388">
        <v>18613</v>
      </c>
      <c r="F388">
        <v>17.53</v>
      </c>
    </row>
    <row r="389" spans="1:6" x14ac:dyDescent="0.3">
      <c r="A389">
        <v>500570</v>
      </c>
      <c r="B389" s="2">
        <v>44256</v>
      </c>
      <c r="C389">
        <v>142131</v>
      </c>
      <c r="D389">
        <v>124788</v>
      </c>
      <c r="E389">
        <v>17343</v>
      </c>
      <c r="F389">
        <v>13.9</v>
      </c>
    </row>
    <row r="390" spans="1:6" x14ac:dyDescent="0.3">
      <c r="A390">
        <v>500570</v>
      </c>
      <c r="B390" s="2">
        <v>44621</v>
      </c>
      <c r="C390">
        <v>146449</v>
      </c>
      <c r="D390">
        <v>142131</v>
      </c>
      <c r="E390">
        <v>4318</v>
      </c>
      <c r="F390">
        <v>3.04</v>
      </c>
    </row>
    <row r="391" spans="1:6" x14ac:dyDescent="0.3">
      <c r="A391">
        <v>500570</v>
      </c>
      <c r="B391" s="2">
        <v>44986</v>
      </c>
      <c r="C391">
        <v>134113</v>
      </c>
      <c r="D391">
        <v>146449</v>
      </c>
      <c r="E391">
        <v>-12336</v>
      </c>
      <c r="F391">
        <v>-8.42</v>
      </c>
    </row>
    <row r="392" spans="1:6" x14ac:dyDescent="0.3">
      <c r="A392">
        <v>500696</v>
      </c>
      <c r="B392" s="2">
        <v>41334</v>
      </c>
      <c r="C392">
        <v>25</v>
      </c>
      <c r="D392">
        <v>0</v>
      </c>
      <c r="E392">
        <v>25</v>
      </c>
      <c r="F392" t="s">
        <v>8</v>
      </c>
    </row>
    <row r="393" spans="1:6" x14ac:dyDescent="0.3">
      <c r="A393">
        <v>500696</v>
      </c>
      <c r="B393" s="2">
        <v>41699</v>
      </c>
      <c r="C393">
        <v>46</v>
      </c>
      <c r="D393">
        <v>25</v>
      </c>
      <c r="E393">
        <v>21</v>
      </c>
      <c r="F393">
        <v>84</v>
      </c>
    </row>
    <row r="394" spans="1:6" x14ac:dyDescent="0.3">
      <c r="A394">
        <v>500696</v>
      </c>
      <c r="B394" s="2">
        <v>42064</v>
      </c>
      <c r="C394">
        <v>43</v>
      </c>
      <c r="D394">
        <v>46</v>
      </c>
      <c r="E394">
        <v>-3</v>
      </c>
      <c r="F394">
        <v>-6.52</v>
      </c>
    </row>
    <row r="395" spans="1:6" x14ac:dyDescent="0.3">
      <c r="A395">
        <v>500696</v>
      </c>
      <c r="B395" s="2">
        <v>42430</v>
      </c>
      <c r="C395">
        <v>177</v>
      </c>
      <c r="D395">
        <v>43</v>
      </c>
      <c r="E395">
        <v>134</v>
      </c>
      <c r="F395">
        <v>311.63</v>
      </c>
    </row>
    <row r="396" spans="1:6" x14ac:dyDescent="0.3">
      <c r="A396">
        <v>500696</v>
      </c>
      <c r="B396" s="2">
        <v>42795</v>
      </c>
      <c r="C396">
        <v>277</v>
      </c>
      <c r="D396">
        <v>177</v>
      </c>
      <c r="E396">
        <v>100</v>
      </c>
      <c r="F396">
        <v>56.5</v>
      </c>
    </row>
    <row r="397" spans="1:6" x14ac:dyDescent="0.3">
      <c r="A397">
        <v>500696</v>
      </c>
      <c r="B397" s="2">
        <v>43160</v>
      </c>
      <c r="C397">
        <v>0</v>
      </c>
      <c r="D397">
        <v>277</v>
      </c>
      <c r="E397">
        <v>-277</v>
      </c>
      <c r="F397">
        <v>-100</v>
      </c>
    </row>
    <row r="398" spans="1:6" x14ac:dyDescent="0.3">
      <c r="A398">
        <v>500696</v>
      </c>
      <c r="B398" s="2">
        <v>43525</v>
      </c>
      <c r="C398">
        <v>99</v>
      </c>
      <c r="D398">
        <v>0</v>
      </c>
      <c r="E398">
        <v>99</v>
      </c>
      <c r="F398" t="s">
        <v>8</v>
      </c>
    </row>
    <row r="399" spans="1:6" x14ac:dyDescent="0.3">
      <c r="A399">
        <v>500696</v>
      </c>
      <c r="B399" s="2">
        <v>43891</v>
      </c>
      <c r="C399">
        <v>0</v>
      </c>
      <c r="D399">
        <v>99</v>
      </c>
      <c r="E399">
        <v>-99</v>
      </c>
      <c r="F399">
        <v>-100</v>
      </c>
    </row>
    <row r="400" spans="1:6" x14ac:dyDescent="0.3">
      <c r="A400">
        <v>500696</v>
      </c>
      <c r="B400" s="2">
        <v>44256</v>
      </c>
      <c r="C400">
        <v>1009</v>
      </c>
      <c r="D400">
        <v>0</v>
      </c>
      <c r="E400">
        <v>1009</v>
      </c>
      <c r="F400" t="s">
        <v>8</v>
      </c>
    </row>
    <row r="401" spans="1:6" x14ac:dyDescent="0.3">
      <c r="A401">
        <v>500696</v>
      </c>
      <c r="B401" s="2">
        <v>44621</v>
      </c>
      <c r="C401">
        <v>1043</v>
      </c>
      <c r="D401">
        <v>1009</v>
      </c>
      <c r="E401">
        <v>34</v>
      </c>
      <c r="F401">
        <v>3.37</v>
      </c>
    </row>
    <row r="402" spans="1:6" x14ac:dyDescent="0.3">
      <c r="A402">
        <v>500696</v>
      </c>
      <c r="B402" s="2">
        <v>44986</v>
      </c>
      <c r="C402">
        <v>1219</v>
      </c>
      <c r="D402">
        <v>1043</v>
      </c>
      <c r="E402">
        <v>176</v>
      </c>
      <c r="F402">
        <v>16.87</v>
      </c>
    </row>
    <row r="403" spans="1:6" x14ac:dyDescent="0.3">
      <c r="A403">
        <v>500790</v>
      </c>
      <c r="B403" s="2">
        <v>41244</v>
      </c>
      <c r="C403">
        <v>1050</v>
      </c>
      <c r="D403">
        <v>971</v>
      </c>
      <c r="E403">
        <v>79</v>
      </c>
      <c r="F403">
        <v>8.14</v>
      </c>
    </row>
    <row r="404" spans="1:6" x14ac:dyDescent="0.3">
      <c r="A404">
        <v>500790</v>
      </c>
      <c r="B404" s="2">
        <v>41609</v>
      </c>
      <c r="C404">
        <v>1189</v>
      </c>
      <c r="D404">
        <v>1050</v>
      </c>
      <c r="E404">
        <v>139</v>
      </c>
      <c r="F404">
        <v>13.24</v>
      </c>
    </row>
    <row r="405" spans="1:6" x14ac:dyDescent="0.3">
      <c r="A405">
        <v>500790</v>
      </c>
      <c r="B405" s="2">
        <v>41974</v>
      </c>
      <c r="C405">
        <v>20</v>
      </c>
      <c r="D405">
        <v>1189</v>
      </c>
      <c r="E405">
        <v>-1169</v>
      </c>
      <c r="F405">
        <v>-98.32</v>
      </c>
    </row>
    <row r="406" spans="1:6" x14ac:dyDescent="0.3">
      <c r="A406">
        <v>500790</v>
      </c>
      <c r="B406" s="2">
        <v>42339</v>
      </c>
      <c r="C406">
        <v>18</v>
      </c>
      <c r="D406">
        <v>20</v>
      </c>
      <c r="E406">
        <v>-2</v>
      </c>
      <c r="F406">
        <v>-10</v>
      </c>
    </row>
    <row r="407" spans="1:6" x14ac:dyDescent="0.3">
      <c r="A407">
        <v>500790</v>
      </c>
      <c r="B407" s="2">
        <v>42705</v>
      </c>
      <c r="C407">
        <v>33</v>
      </c>
      <c r="D407">
        <v>18</v>
      </c>
      <c r="E407">
        <v>15</v>
      </c>
      <c r="F407">
        <v>83.33</v>
      </c>
    </row>
    <row r="408" spans="1:6" x14ac:dyDescent="0.3">
      <c r="A408">
        <v>500790</v>
      </c>
      <c r="B408" s="2">
        <v>43070</v>
      </c>
      <c r="C408">
        <v>35</v>
      </c>
      <c r="D408">
        <v>33</v>
      </c>
      <c r="E408">
        <v>2</v>
      </c>
      <c r="F408">
        <v>6.06</v>
      </c>
    </row>
    <row r="409" spans="1:6" x14ac:dyDescent="0.3">
      <c r="A409">
        <v>500790</v>
      </c>
      <c r="B409" s="2">
        <v>43435</v>
      </c>
      <c r="C409">
        <v>35</v>
      </c>
      <c r="D409">
        <v>35</v>
      </c>
      <c r="E409">
        <v>0</v>
      </c>
      <c r="F409">
        <v>0</v>
      </c>
    </row>
    <row r="410" spans="1:6" x14ac:dyDescent="0.3">
      <c r="A410">
        <v>500790</v>
      </c>
      <c r="B410" s="2">
        <v>43800</v>
      </c>
      <c r="C410">
        <v>189</v>
      </c>
      <c r="D410">
        <v>35</v>
      </c>
      <c r="E410">
        <v>154</v>
      </c>
      <c r="F410">
        <v>440</v>
      </c>
    </row>
    <row r="411" spans="1:6" x14ac:dyDescent="0.3">
      <c r="A411">
        <v>500790</v>
      </c>
      <c r="B411" s="2">
        <v>44166</v>
      </c>
      <c r="C411">
        <v>147</v>
      </c>
      <c r="D411">
        <v>189</v>
      </c>
      <c r="E411">
        <v>-42</v>
      </c>
      <c r="F411">
        <v>-22.22</v>
      </c>
    </row>
    <row r="412" spans="1:6" x14ac:dyDescent="0.3">
      <c r="A412">
        <v>500790</v>
      </c>
      <c r="B412" s="2">
        <v>44531</v>
      </c>
      <c r="C412">
        <v>266</v>
      </c>
      <c r="D412">
        <v>147</v>
      </c>
      <c r="E412">
        <v>119</v>
      </c>
      <c r="F412">
        <v>80.95</v>
      </c>
    </row>
    <row r="413" spans="1:6" x14ac:dyDescent="0.3">
      <c r="A413">
        <v>500790</v>
      </c>
      <c r="B413" s="2">
        <v>44896</v>
      </c>
      <c r="C413">
        <v>271</v>
      </c>
      <c r="D413">
        <v>266</v>
      </c>
      <c r="E413">
        <v>5</v>
      </c>
      <c r="F413">
        <v>1.88</v>
      </c>
    </row>
    <row r="414" spans="1:6" x14ac:dyDescent="0.3">
      <c r="A414">
        <v>500800</v>
      </c>
      <c r="B414" s="2">
        <v>41334</v>
      </c>
      <c r="C414">
        <v>1389</v>
      </c>
      <c r="D414">
        <v>916</v>
      </c>
      <c r="E414">
        <v>473</v>
      </c>
      <c r="F414">
        <v>51.64</v>
      </c>
    </row>
    <row r="415" spans="1:6" x14ac:dyDescent="0.3">
      <c r="A415">
        <v>500800</v>
      </c>
      <c r="B415" s="2">
        <v>41699</v>
      </c>
      <c r="C415">
        <v>1438</v>
      </c>
      <c r="D415">
        <v>1389</v>
      </c>
      <c r="E415">
        <v>49</v>
      </c>
      <c r="F415">
        <v>3.53</v>
      </c>
    </row>
    <row r="416" spans="1:6" x14ac:dyDescent="0.3">
      <c r="A416">
        <v>500800</v>
      </c>
      <c r="B416" s="2">
        <v>42064</v>
      </c>
      <c r="C416">
        <v>1324</v>
      </c>
      <c r="D416">
        <v>1438</v>
      </c>
      <c r="E416">
        <v>-114</v>
      </c>
      <c r="F416">
        <v>-7.93</v>
      </c>
    </row>
    <row r="417" spans="1:6" x14ac:dyDescent="0.3">
      <c r="A417">
        <v>500800</v>
      </c>
      <c r="B417" s="2">
        <v>42430</v>
      </c>
      <c r="C417">
        <v>1354</v>
      </c>
      <c r="D417">
        <v>1324</v>
      </c>
      <c r="E417">
        <v>30</v>
      </c>
      <c r="F417">
        <v>2.27</v>
      </c>
    </row>
    <row r="418" spans="1:6" x14ac:dyDescent="0.3">
      <c r="A418">
        <v>500800</v>
      </c>
      <c r="B418" s="2">
        <v>42795</v>
      </c>
      <c r="C418">
        <v>787</v>
      </c>
      <c r="D418">
        <v>1354</v>
      </c>
      <c r="E418">
        <v>-567</v>
      </c>
      <c r="F418">
        <v>-41.88</v>
      </c>
    </row>
    <row r="419" spans="1:6" x14ac:dyDescent="0.3">
      <c r="A419">
        <v>500800</v>
      </c>
      <c r="B419" s="2">
        <v>43160</v>
      </c>
      <c r="C419">
        <v>1068</v>
      </c>
      <c r="D419">
        <v>787</v>
      </c>
      <c r="E419">
        <v>281</v>
      </c>
      <c r="F419">
        <v>35.71</v>
      </c>
    </row>
    <row r="420" spans="1:6" x14ac:dyDescent="0.3">
      <c r="A420">
        <v>500800</v>
      </c>
      <c r="B420" s="2">
        <v>43525</v>
      </c>
      <c r="C420">
        <v>1141</v>
      </c>
      <c r="D420">
        <v>1068</v>
      </c>
      <c r="E420">
        <v>73</v>
      </c>
      <c r="F420">
        <v>6.84</v>
      </c>
    </row>
    <row r="421" spans="1:6" x14ac:dyDescent="0.3">
      <c r="A421">
        <v>500800</v>
      </c>
      <c r="B421" s="2">
        <v>43891</v>
      </c>
      <c r="C421">
        <v>1586</v>
      </c>
      <c r="D421">
        <v>1141</v>
      </c>
      <c r="E421">
        <v>445</v>
      </c>
      <c r="F421">
        <v>39</v>
      </c>
    </row>
    <row r="422" spans="1:6" x14ac:dyDescent="0.3">
      <c r="A422">
        <v>500800</v>
      </c>
      <c r="B422" s="2">
        <v>44256</v>
      </c>
      <c r="C422">
        <v>1634</v>
      </c>
      <c r="D422">
        <v>1586</v>
      </c>
      <c r="E422">
        <v>48</v>
      </c>
      <c r="F422">
        <v>3.03</v>
      </c>
    </row>
    <row r="423" spans="1:6" x14ac:dyDescent="0.3">
      <c r="A423">
        <v>500800</v>
      </c>
      <c r="B423" s="2">
        <v>44621</v>
      </c>
      <c r="C423">
        <v>1412</v>
      </c>
      <c r="D423">
        <v>1634</v>
      </c>
      <c r="E423">
        <v>-222</v>
      </c>
      <c r="F423">
        <v>-13.59</v>
      </c>
    </row>
    <row r="424" spans="1:6" x14ac:dyDescent="0.3">
      <c r="A424">
        <v>500800</v>
      </c>
      <c r="B424" s="2">
        <v>44986</v>
      </c>
      <c r="C424">
        <v>1600</v>
      </c>
      <c r="D424">
        <v>1412</v>
      </c>
      <c r="E424">
        <v>188</v>
      </c>
      <c r="F424">
        <v>13.31</v>
      </c>
    </row>
    <row r="425" spans="1:6" x14ac:dyDescent="0.3">
      <c r="A425">
        <v>500820</v>
      </c>
      <c r="B425" s="2">
        <v>41334</v>
      </c>
      <c r="C425">
        <v>251</v>
      </c>
      <c r="D425">
        <v>341</v>
      </c>
      <c r="E425">
        <v>-90</v>
      </c>
      <c r="F425">
        <v>-26.39</v>
      </c>
    </row>
    <row r="426" spans="1:6" x14ac:dyDescent="0.3">
      <c r="A426">
        <v>500820</v>
      </c>
      <c r="B426" s="2">
        <v>41699</v>
      </c>
      <c r="C426">
        <v>249</v>
      </c>
      <c r="D426">
        <v>251</v>
      </c>
      <c r="E426">
        <v>-2</v>
      </c>
      <c r="F426">
        <v>-0.8</v>
      </c>
    </row>
    <row r="427" spans="1:6" x14ac:dyDescent="0.3">
      <c r="A427">
        <v>500820</v>
      </c>
      <c r="B427" s="2">
        <v>42064</v>
      </c>
      <c r="C427">
        <v>418</v>
      </c>
      <c r="D427">
        <v>249</v>
      </c>
      <c r="E427">
        <v>169</v>
      </c>
      <c r="F427">
        <v>67.87</v>
      </c>
    </row>
    <row r="428" spans="1:6" x14ac:dyDescent="0.3">
      <c r="A428">
        <v>500820</v>
      </c>
      <c r="B428" s="2">
        <v>42430</v>
      </c>
      <c r="C428">
        <v>323</v>
      </c>
      <c r="D428">
        <v>418</v>
      </c>
      <c r="E428">
        <v>-95</v>
      </c>
      <c r="F428">
        <v>-22.73</v>
      </c>
    </row>
    <row r="429" spans="1:6" x14ac:dyDescent="0.3">
      <c r="A429">
        <v>500820</v>
      </c>
      <c r="B429" s="2">
        <v>42795</v>
      </c>
      <c r="C429">
        <v>560</v>
      </c>
      <c r="D429">
        <v>323</v>
      </c>
      <c r="E429">
        <v>237</v>
      </c>
      <c r="F429">
        <v>73.37</v>
      </c>
    </row>
    <row r="430" spans="1:6" x14ac:dyDescent="0.3">
      <c r="A430">
        <v>500820</v>
      </c>
      <c r="B430" s="2">
        <v>43160</v>
      </c>
      <c r="C430">
        <v>533</v>
      </c>
      <c r="D430">
        <v>560</v>
      </c>
      <c r="E430">
        <v>-27</v>
      </c>
      <c r="F430">
        <v>-4.82</v>
      </c>
    </row>
    <row r="431" spans="1:6" x14ac:dyDescent="0.3">
      <c r="A431">
        <v>500820</v>
      </c>
      <c r="B431" s="2">
        <v>43525</v>
      </c>
      <c r="C431">
        <v>1320</v>
      </c>
      <c r="D431">
        <v>533</v>
      </c>
      <c r="E431">
        <v>787</v>
      </c>
      <c r="F431">
        <v>147.65</v>
      </c>
    </row>
    <row r="432" spans="1:6" x14ac:dyDescent="0.3">
      <c r="A432">
        <v>500820</v>
      </c>
      <c r="B432" s="2">
        <v>43891</v>
      </c>
      <c r="C432">
        <v>1118</v>
      </c>
      <c r="D432">
        <v>1320</v>
      </c>
      <c r="E432">
        <v>-202</v>
      </c>
      <c r="F432">
        <v>-15.3</v>
      </c>
    </row>
    <row r="433" spans="1:6" x14ac:dyDescent="0.3">
      <c r="A433">
        <v>500820</v>
      </c>
      <c r="B433" s="2">
        <v>44256</v>
      </c>
      <c r="C433">
        <v>1093</v>
      </c>
      <c r="D433">
        <v>1118</v>
      </c>
      <c r="E433">
        <v>-25</v>
      </c>
      <c r="F433">
        <v>-2.2400000000000002</v>
      </c>
    </row>
    <row r="434" spans="1:6" x14ac:dyDescent="0.3">
      <c r="A434">
        <v>500820</v>
      </c>
      <c r="B434" s="2">
        <v>44621</v>
      </c>
      <c r="C434">
        <v>1587</v>
      </c>
      <c r="D434">
        <v>1093</v>
      </c>
      <c r="E434">
        <v>494</v>
      </c>
      <c r="F434">
        <v>45.2</v>
      </c>
    </row>
    <row r="435" spans="1:6" x14ac:dyDescent="0.3">
      <c r="A435">
        <v>500820</v>
      </c>
      <c r="B435" s="2">
        <v>44986</v>
      </c>
      <c r="C435">
        <v>1933</v>
      </c>
      <c r="D435">
        <v>1587</v>
      </c>
      <c r="E435">
        <v>346</v>
      </c>
      <c r="F435">
        <v>21.8</v>
      </c>
    </row>
    <row r="436" spans="1:6" x14ac:dyDescent="0.3">
      <c r="A436">
        <v>500825</v>
      </c>
      <c r="B436" s="2">
        <v>41334</v>
      </c>
      <c r="C436">
        <v>380</v>
      </c>
      <c r="D436">
        <v>604</v>
      </c>
      <c r="E436">
        <v>-224</v>
      </c>
      <c r="F436">
        <v>-37.090000000000003</v>
      </c>
    </row>
    <row r="437" spans="1:6" x14ac:dyDescent="0.3">
      <c r="A437">
        <v>500825</v>
      </c>
      <c r="B437" s="2">
        <v>41699</v>
      </c>
      <c r="C437">
        <v>150</v>
      </c>
      <c r="D437">
        <v>380</v>
      </c>
      <c r="E437">
        <v>-230</v>
      </c>
      <c r="F437">
        <v>-60.53</v>
      </c>
    </row>
    <row r="438" spans="1:6" x14ac:dyDescent="0.3">
      <c r="A438">
        <v>500825</v>
      </c>
      <c r="B438" s="2">
        <v>42064</v>
      </c>
      <c r="C438">
        <v>145</v>
      </c>
      <c r="D438">
        <v>150</v>
      </c>
      <c r="E438">
        <v>-5</v>
      </c>
      <c r="F438">
        <v>-3.33</v>
      </c>
    </row>
    <row r="439" spans="1:6" x14ac:dyDescent="0.3">
      <c r="A439">
        <v>500825</v>
      </c>
      <c r="B439" s="2">
        <v>42430</v>
      </c>
      <c r="C439">
        <v>131</v>
      </c>
      <c r="D439">
        <v>145</v>
      </c>
      <c r="E439">
        <v>-14</v>
      </c>
      <c r="F439">
        <v>-9.66</v>
      </c>
    </row>
    <row r="440" spans="1:6" x14ac:dyDescent="0.3">
      <c r="A440">
        <v>500825</v>
      </c>
      <c r="B440" s="2">
        <v>42795</v>
      </c>
      <c r="C440">
        <v>125</v>
      </c>
      <c r="D440">
        <v>131</v>
      </c>
      <c r="E440">
        <v>-6</v>
      </c>
      <c r="F440">
        <v>-4.58</v>
      </c>
    </row>
    <row r="441" spans="1:6" x14ac:dyDescent="0.3">
      <c r="A441">
        <v>500825</v>
      </c>
      <c r="B441" s="2">
        <v>43160</v>
      </c>
      <c r="C441">
        <v>201</v>
      </c>
      <c r="D441">
        <v>125</v>
      </c>
      <c r="E441">
        <v>76</v>
      </c>
      <c r="F441">
        <v>60.8</v>
      </c>
    </row>
    <row r="442" spans="1:6" x14ac:dyDescent="0.3">
      <c r="A442">
        <v>500825</v>
      </c>
      <c r="B442" s="2">
        <v>43525</v>
      </c>
      <c r="C442">
        <v>156</v>
      </c>
      <c r="D442">
        <v>201</v>
      </c>
      <c r="E442">
        <v>-45</v>
      </c>
      <c r="F442">
        <v>-22.39</v>
      </c>
    </row>
    <row r="443" spans="1:6" x14ac:dyDescent="0.3">
      <c r="A443">
        <v>500825</v>
      </c>
      <c r="B443" s="2">
        <v>43891</v>
      </c>
      <c r="C443">
        <v>1538</v>
      </c>
      <c r="D443">
        <v>156</v>
      </c>
      <c r="E443">
        <v>1382</v>
      </c>
      <c r="F443">
        <v>885.9</v>
      </c>
    </row>
    <row r="444" spans="1:6" x14ac:dyDescent="0.3">
      <c r="A444">
        <v>500825</v>
      </c>
      <c r="B444" s="2">
        <v>44256</v>
      </c>
      <c r="C444">
        <v>2122</v>
      </c>
      <c r="D444">
        <v>1538</v>
      </c>
      <c r="E444">
        <v>584</v>
      </c>
      <c r="F444">
        <v>37.97</v>
      </c>
    </row>
    <row r="445" spans="1:6" x14ac:dyDescent="0.3">
      <c r="A445">
        <v>500825</v>
      </c>
      <c r="B445" s="2">
        <v>44621</v>
      </c>
      <c r="C445">
        <v>2481</v>
      </c>
      <c r="D445">
        <v>2122</v>
      </c>
      <c r="E445">
        <v>359</v>
      </c>
      <c r="F445">
        <v>16.920000000000002</v>
      </c>
    </row>
    <row r="446" spans="1:6" x14ac:dyDescent="0.3">
      <c r="A446">
        <v>500825</v>
      </c>
      <c r="B446" s="2">
        <v>44986</v>
      </c>
      <c r="C446">
        <v>2997</v>
      </c>
      <c r="D446">
        <v>2481</v>
      </c>
      <c r="E446">
        <v>516</v>
      </c>
      <c r="F446">
        <v>20.8</v>
      </c>
    </row>
    <row r="447" spans="1:6" x14ac:dyDescent="0.3">
      <c r="A447">
        <v>500850</v>
      </c>
      <c r="B447" s="2">
        <v>41334</v>
      </c>
      <c r="C447">
        <v>3818</v>
      </c>
      <c r="D447">
        <v>3803</v>
      </c>
      <c r="E447">
        <v>15</v>
      </c>
      <c r="F447">
        <v>0.39</v>
      </c>
    </row>
    <row r="448" spans="1:6" x14ac:dyDescent="0.3">
      <c r="A448">
        <v>500850</v>
      </c>
      <c r="B448" s="2">
        <v>41699</v>
      </c>
      <c r="C448">
        <v>4252</v>
      </c>
      <c r="D448">
        <v>3818</v>
      </c>
      <c r="E448">
        <v>434</v>
      </c>
      <c r="F448">
        <v>11.37</v>
      </c>
    </row>
    <row r="449" spans="1:6" x14ac:dyDescent="0.3">
      <c r="A449">
        <v>500850</v>
      </c>
      <c r="B449" s="2">
        <v>42064</v>
      </c>
      <c r="C449">
        <v>5074</v>
      </c>
      <c r="D449">
        <v>4252</v>
      </c>
      <c r="E449">
        <v>822</v>
      </c>
      <c r="F449">
        <v>19.329999999999998</v>
      </c>
    </row>
    <row r="450" spans="1:6" x14ac:dyDescent="0.3">
      <c r="A450">
        <v>500850</v>
      </c>
      <c r="B450" s="2">
        <v>42430</v>
      </c>
      <c r="C450">
        <v>4526</v>
      </c>
      <c r="D450">
        <v>5074</v>
      </c>
      <c r="E450">
        <v>-548</v>
      </c>
      <c r="F450">
        <v>-10.8</v>
      </c>
    </row>
    <row r="451" spans="1:6" x14ac:dyDescent="0.3">
      <c r="A451">
        <v>500850</v>
      </c>
      <c r="B451" s="2">
        <v>42795</v>
      </c>
      <c r="C451">
        <v>3383</v>
      </c>
      <c r="D451">
        <v>4526</v>
      </c>
      <c r="E451">
        <v>-1143</v>
      </c>
      <c r="F451">
        <v>-25.25</v>
      </c>
    </row>
    <row r="452" spans="1:6" x14ac:dyDescent="0.3">
      <c r="A452">
        <v>500850</v>
      </c>
      <c r="B452" s="2">
        <v>43160</v>
      </c>
      <c r="C452">
        <v>2427</v>
      </c>
      <c r="D452">
        <v>3383</v>
      </c>
      <c r="E452">
        <v>-956</v>
      </c>
      <c r="F452">
        <v>-28.26</v>
      </c>
    </row>
    <row r="453" spans="1:6" x14ac:dyDescent="0.3">
      <c r="A453">
        <v>500850</v>
      </c>
      <c r="B453" s="2">
        <v>43525</v>
      </c>
      <c r="C453">
        <v>2326</v>
      </c>
      <c r="D453">
        <v>2427</v>
      </c>
      <c r="E453">
        <v>-101</v>
      </c>
      <c r="F453">
        <v>-4.16</v>
      </c>
    </row>
    <row r="454" spans="1:6" x14ac:dyDescent="0.3">
      <c r="A454">
        <v>500850</v>
      </c>
      <c r="B454" s="2">
        <v>43891</v>
      </c>
      <c r="C454">
        <v>4501</v>
      </c>
      <c r="D454">
        <v>2326</v>
      </c>
      <c r="E454">
        <v>2175</v>
      </c>
      <c r="F454">
        <v>93.51</v>
      </c>
    </row>
    <row r="455" spans="1:6" x14ac:dyDescent="0.3">
      <c r="A455">
        <v>500850</v>
      </c>
      <c r="B455" s="2">
        <v>44256</v>
      </c>
      <c r="C455">
        <v>5518</v>
      </c>
      <c r="D455">
        <v>4501</v>
      </c>
      <c r="E455">
        <v>1017</v>
      </c>
      <c r="F455">
        <v>22.59</v>
      </c>
    </row>
    <row r="456" spans="1:6" x14ac:dyDescent="0.3">
      <c r="A456">
        <v>500850</v>
      </c>
      <c r="B456" s="2">
        <v>44621</v>
      </c>
      <c r="C456">
        <v>3888</v>
      </c>
      <c r="D456">
        <v>5518</v>
      </c>
      <c r="E456">
        <v>-1630</v>
      </c>
      <c r="F456">
        <v>-29.54</v>
      </c>
    </row>
    <row r="457" spans="1:6" x14ac:dyDescent="0.3">
      <c r="A457">
        <v>500850</v>
      </c>
      <c r="B457" s="2">
        <v>44986</v>
      </c>
      <c r="C457">
        <v>3139</v>
      </c>
      <c r="D457">
        <v>3888</v>
      </c>
      <c r="E457">
        <v>-749</v>
      </c>
      <c r="F457">
        <v>-19.260000000000002</v>
      </c>
    </row>
    <row r="458" spans="1:6" x14ac:dyDescent="0.3">
      <c r="A458">
        <v>500875</v>
      </c>
      <c r="B458" s="2">
        <v>41334</v>
      </c>
      <c r="C458">
        <v>102</v>
      </c>
      <c r="D458">
        <v>118</v>
      </c>
      <c r="E458">
        <v>-16</v>
      </c>
      <c r="F458">
        <v>-13.56</v>
      </c>
    </row>
    <row r="459" spans="1:6" x14ac:dyDescent="0.3">
      <c r="A459">
        <v>500875</v>
      </c>
      <c r="B459" s="2">
        <v>41699</v>
      </c>
      <c r="C459">
        <v>242</v>
      </c>
      <c r="D459">
        <v>102</v>
      </c>
      <c r="E459">
        <v>140</v>
      </c>
      <c r="F459">
        <v>137.25</v>
      </c>
    </row>
    <row r="460" spans="1:6" x14ac:dyDescent="0.3">
      <c r="A460">
        <v>500875</v>
      </c>
      <c r="B460" s="2">
        <v>42064</v>
      </c>
      <c r="C460">
        <v>269</v>
      </c>
      <c r="D460">
        <v>242</v>
      </c>
      <c r="E460">
        <v>27</v>
      </c>
      <c r="F460">
        <v>11.16</v>
      </c>
    </row>
    <row r="461" spans="1:6" x14ac:dyDescent="0.3">
      <c r="A461">
        <v>500875</v>
      </c>
      <c r="B461" s="2">
        <v>42430</v>
      </c>
      <c r="C461">
        <v>84</v>
      </c>
      <c r="D461">
        <v>269</v>
      </c>
      <c r="E461">
        <v>-185</v>
      </c>
      <c r="F461">
        <v>-68.77</v>
      </c>
    </row>
    <row r="462" spans="1:6" x14ac:dyDescent="0.3">
      <c r="A462">
        <v>500875</v>
      </c>
      <c r="B462" s="2">
        <v>42795</v>
      </c>
      <c r="C462">
        <v>46</v>
      </c>
      <c r="D462">
        <v>84</v>
      </c>
      <c r="E462">
        <v>-38</v>
      </c>
      <c r="F462">
        <v>-45.24</v>
      </c>
    </row>
    <row r="463" spans="1:6" x14ac:dyDescent="0.3">
      <c r="A463">
        <v>500875</v>
      </c>
      <c r="B463" s="2">
        <v>43160</v>
      </c>
      <c r="C463">
        <v>36</v>
      </c>
      <c r="D463">
        <v>46</v>
      </c>
      <c r="E463">
        <v>-10</v>
      </c>
      <c r="F463">
        <v>-21.74</v>
      </c>
    </row>
    <row r="464" spans="1:6" x14ac:dyDescent="0.3">
      <c r="A464">
        <v>500875</v>
      </c>
      <c r="B464" s="2">
        <v>43525</v>
      </c>
      <c r="C464">
        <v>13</v>
      </c>
      <c r="D464">
        <v>36</v>
      </c>
      <c r="E464">
        <v>-23</v>
      </c>
      <c r="F464">
        <v>-63.89</v>
      </c>
    </row>
    <row r="465" spans="1:6" x14ac:dyDescent="0.3">
      <c r="A465">
        <v>500875</v>
      </c>
      <c r="B465" s="2">
        <v>43891</v>
      </c>
      <c r="C465">
        <v>277</v>
      </c>
      <c r="D465">
        <v>13</v>
      </c>
      <c r="E465">
        <v>264</v>
      </c>
      <c r="F465">
        <v>2030.77</v>
      </c>
    </row>
    <row r="466" spans="1:6" x14ac:dyDescent="0.3">
      <c r="A466">
        <v>500875</v>
      </c>
      <c r="B466" s="2">
        <v>44256</v>
      </c>
      <c r="C466">
        <v>271</v>
      </c>
      <c r="D466">
        <v>277</v>
      </c>
      <c r="E466">
        <v>-6</v>
      </c>
      <c r="F466">
        <v>-2.17</v>
      </c>
    </row>
    <row r="467" spans="1:6" x14ac:dyDescent="0.3">
      <c r="A467">
        <v>500875</v>
      </c>
      <c r="B467" s="2">
        <v>44621</v>
      </c>
      <c r="C467">
        <v>249</v>
      </c>
      <c r="D467">
        <v>271</v>
      </c>
      <c r="E467">
        <v>-22</v>
      </c>
      <c r="F467">
        <v>-8.1199999999999992</v>
      </c>
    </row>
    <row r="468" spans="1:6" x14ac:dyDescent="0.3">
      <c r="A468">
        <v>500875</v>
      </c>
      <c r="B468" s="2">
        <v>44986</v>
      </c>
      <c r="C468">
        <v>306</v>
      </c>
      <c r="D468">
        <v>249</v>
      </c>
      <c r="E468">
        <v>57</v>
      </c>
      <c r="F468">
        <v>22.89</v>
      </c>
    </row>
    <row r="469" spans="1:6" x14ac:dyDescent="0.3">
      <c r="A469">
        <v>503806</v>
      </c>
      <c r="B469" s="2">
        <v>41334</v>
      </c>
      <c r="C469">
        <v>1704</v>
      </c>
      <c r="D469">
        <v>1228</v>
      </c>
      <c r="E469">
        <v>476</v>
      </c>
      <c r="F469">
        <v>38.76</v>
      </c>
    </row>
    <row r="470" spans="1:6" x14ac:dyDescent="0.3">
      <c r="A470">
        <v>503806</v>
      </c>
      <c r="B470" s="2">
        <v>41699</v>
      </c>
      <c r="C470">
        <v>2175</v>
      </c>
      <c r="D470">
        <v>1704</v>
      </c>
      <c r="E470">
        <v>471</v>
      </c>
      <c r="F470">
        <v>27.64</v>
      </c>
    </row>
    <row r="471" spans="1:6" x14ac:dyDescent="0.3">
      <c r="A471">
        <v>503806</v>
      </c>
      <c r="B471" s="2">
        <v>42064</v>
      </c>
      <c r="C471">
        <v>2435</v>
      </c>
      <c r="D471">
        <v>2175</v>
      </c>
      <c r="E471">
        <v>260</v>
      </c>
      <c r="F471">
        <v>11.95</v>
      </c>
    </row>
    <row r="472" spans="1:6" x14ac:dyDescent="0.3">
      <c r="A472">
        <v>503806</v>
      </c>
      <c r="B472" s="2">
        <v>42430</v>
      </c>
      <c r="C472">
        <v>2515</v>
      </c>
      <c r="D472">
        <v>2435</v>
      </c>
      <c r="E472">
        <v>80</v>
      </c>
      <c r="F472">
        <v>3.29</v>
      </c>
    </row>
    <row r="473" spans="1:6" x14ac:dyDescent="0.3">
      <c r="A473">
        <v>503806</v>
      </c>
      <c r="B473" s="2">
        <v>42795</v>
      </c>
      <c r="C473">
        <v>2396</v>
      </c>
      <c r="D473">
        <v>2515</v>
      </c>
      <c r="E473">
        <v>-119</v>
      </c>
      <c r="F473">
        <v>-4.7300000000000004</v>
      </c>
    </row>
    <row r="474" spans="1:6" x14ac:dyDescent="0.3">
      <c r="A474">
        <v>503806</v>
      </c>
      <c r="B474" s="2">
        <v>43160</v>
      </c>
      <c r="C474">
        <v>3142</v>
      </c>
      <c r="D474">
        <v>2396</v>
      </c>
      <c r="E474">
        <v>746</v>
      </c>
      <c r="F474">
        <v>31.14</v>
      </c>
    </row>
    <row r="475" spans="1:6" x14ac:dyDescent="0.3">
      <c r="A475">
        <v>503806</v>
      </c>
      <c r="B475" s="2">
        <v>43525</v>
      </c>
      <c r="C475">
        <v>3730</v>
      </c>
      <c r="D475">
        <v>3142</v>
      </c>
      <c r="E475">
        <v>588</v>
      </c>
      <c r="F475">
        <v>18.71</v>
      </c>
    </row>
    <row r="476" spans="1:6" x14ac:dyDescent="0.3">
      <c r="A476">
        <v>503806</v>
      </c>
      <c r="B476" s="2">
        <v>43891</v>
      </c>
      <c r="C476">
        <v>4135</v>
      </c>
      <c r="D476">
        <v>3730</v>
      </c>
      <c r="E476">
        <v>405</v>
      </c>
      <c r="F476">
        <v>10.86</v>
      </c>
    </row>
    <row r="477" spans="1:6" x14ac:dyDescent="0.3">
      <c r="A477">
        <v>503806</v>
      </c>
      <c r="B477" s="2">
        <v>44256</v>
      </c>
      <c r="C477">
        <v>3469</v>
      </c>
      <c r="D477">
        <v>4135</v>
      </c>
      <c r="E477">
        <v>-666</v>
      </c>
      <c r="F477">
        <v>-16.11</v>
      </c>
    </row>
    <row r="478" spans="1:6" x14ac:dyDescent="0.3">
      <c r="A478">
        <v>503806</v>
      </c>
      <c r="B478" s="2">
        <v>44621</v>
      </c>
      <c r="C478">
        <v>3655</v>
      </c>
      <c r="D478">
        <v>3469</v>
      </c>
      <c r="E478">
        <v>186</v>
      </c>
      <c r="F478">
        <v>5.36</v>
      </c>
    </row>
    <row r="479" spans="1:6" x14ac:dyDescent="0.3">
      <c r="A479">
        <v>503806</v>
      </c>
      <c r="B479" s="2">
        <v>44986</v>
      </c>
      <c r="C479">
        <v>4478</v>
      </c>
      <c r="D479">
        <v>3655</v>
      </c>
      <c r="E479">
        <v>823</v>
      </c>
      <c r="F479">
        <v>22.52</v>
      </c>
    </row>
    <row r="480" spans="1:6" x14ac:dyDescent="0.3">
      <c r="A480">
        <v>505200</v>
      </c>
      <c r="B480" s="2">
        <v>41244</v>
      </c>
      <c r="C480">
        <v>23</v>
      </c>
      <c r="D480">
        <v>43</v>
      </c>
      <c r="E480">
        <v>-20</v>
      </c>
      <c r="F480">
        <v>-46.51</v>
      </c>
    </row>
    <row r="481" spans="1:6" x14ac:dyDescent="0.3">
      <c r="A481">
        <v>505200</v>
      </c>
      <c r="B481" s="2">
        <v>41609</v>
      </c>
      <c r="C481">
        <v>84</v>
      </c>
      <c r="D481">
        <v>23</v>
      </c>
      <c r="E481">
        <v>61</v>
      </c>
      <c r="F481">
        <v>265.22000000000003</v>
      </c>
    </row>
    <row r="482" spans="1:6" x14ac:dyDescent="0.3">
      <c r="A482">
        <v>505200</v>
      </c>
      <c r="B482" s="2">
        <v>41974</v>
      </c>
      <c r="C482">
        <v>58</v>
      </c>
      <c r="D482">
        <v>84</v>
      </c>
      <c r="E482">
        <v>-26</v>
      </c>
      <c r="F482">
        <v>-30.95</v>
      </c>
    </row>
    <row r="483" spans="1:6" x14ac:dyDescent="0.3">
      <c r="A483">
        <v>505200</v>
      </c>
      <c r="B483" s="2">
        <v>42430</v>
      </c>
      <c r="C483">
        <v>23</v>
      </c>
      <c r="D483">
        <v>58</v>
      </c>
      <c r="E483">
        <v>-35</v>
      </c>
      <c r="F483">
        <v>-60.34</v>
      </c>
    </row>
    <row r="484" spans="1:6" x14ac:dyDescent="0.3">
      <c r="A484">
        <v>505200</v>
      </c>
      <c r="B484" s="2">
        <v>42795</v>
      </c>
      <c r="C484">
        <v>112</v>
      </c>
      <c r="D484">
        <v>23</v>
      </c>
      <c r="E484">
        <v>89</v>
      </c>
      <c r="F484">
        <v>386.96</v>
      </c>
    </row>
    <row r="485" spans="1:6" x14ac:dyDescent="0.3">
      <c r="A485">
        <v>505200</v>
      </c>
      <c r="B485" s="2">
        <v>43160</v>
      </c>
      <c r="C485">
        <v>151</v>
      </c>
      <c r="D485">
        <v>112</v>
      </c>
      <c r="E485">
        <v>39</v>
      </c>
      <c r="F485">
        <v>34.82</v>
      </c>
    </row>
    <row r="486" spans="1:6" x14ac:dyDescent="0.3">
      <c r="A486">
        <v>505200</v>
      </c>
      <c r="B486" s="2">
        <v>43525</v>
      </c>
      <c r="C486">
        <v>187</v>
      </c>
      <c r="D486">
        <v>151</v>
      </c>
      <c r="E486">
        <v>36</v>
      </c>
      <c r="F486">
        <v>23.84</v>
      </c>
    </row>
    <row r="487" spans="1:6" x14ac:dyDescent="0.3">
      <c r="A487">
        <v>505200</v>
      </c>
      <c r="B487" s="2">
        <v>43891</v>
      </c>
      <c r="C487">
        <v>249</v>
      </c>
      <c r="D487">
        <v>187</v>
      </c>
      <c r="E487">
        <v>62</v>
      </c>
      <c r="F487">
        <v>33.159999999999997</v>
      </c>
    </row>
    <row r="488" spans="1:6" x14ac:dyDescent="0.3">
      <c r="A488">
        <v>505200</v>
      </c>
      <c r="B488" s="2">
        <v>44256</v>
      </c>
      <c r="C488">
        <v>219</v>
      </c>
      <c r="D488">
        <v>249</v>
      </c>
      <c r="E488">
        <v>-30</v>
      </c>
      <c r="F488">
        <v>-12.05</v>
      </c>
    </row>
    <row r="489" spans="1:6" x14ac:dyDescent="0.3">
      <c r="A489">
        <v>505200</v>
      </c>
      <c r="B489" s="2">
        <v>44621</v>
      </c>
      <c r="C489">
        <v>108</v>
      </c>
      <c r="D489">
        <v>219</v>
      </c>
      <c r="E489">
        <v>-111</v>
      </c>
      <c r="F489">
        <v>-50.68</v>
      </c>
    </row>
    <row r="490" spans="1:6" x14ac:dyDescent="0.3">
      <c r="A490">
        <v>505200</v>
      </c>
      <c r="B490" s="2">
        <v>44986</v>
      </c>
      <c r="C490">
        <v>288</v>
      </c>
      <c r="D490">
        <v>108</v>
      </c>
      <c r="E490">
        <v>180</v>
      </c>
      <c r="F490">
        <v>166.67</v>
      </c>
    </row>
    <row r="491" spans="1:6" x14ac:dyDescent="0.3">
      <c r="A491">
        <v>507685</v>
      </c>
      <c r="B491" s="2">
        <v>41334</v>
      </c>
      <c r="C491">
        <v>6381</v>
      </c>
      <c r="D491">
        <v>5896</v>
      </c>
      <c r="E491">
        <v>485</v>
      </c>
      <c r="F491">
        <v>8.23</v>
      </c>
    </row>
    <row r="492" spans="1:6" x14ac:dyDescent="0.3">
      <c r="A492">
        <v>507685</v>
      </c>
      <c r="B492" s="2">
        <v>41699</v>
      </c>
      <c r="C492">
        <v>5159</v>
      </c>
      <c r="D492">
        <v>6381</v>
      </c>
      <c r="E492">
        <v>-1222</v>
      </c>
      <c r="F492">
        <v>-19.149999999999999</v>
      </c>
    </row>
    <row r="493" spans="1:6" x14ac:dyDescent="0.3">
      <c r="A493">
        <v>507685</v>
      </c>
      <c r="B493" s="2">
        <v>42064</v>
      </c>
      <c r="C493">
        <v>7891</v>
      </c>
      <c r="D493">
        <v>5159</v>
      </c>
      <c r="E493">
        <v>2732</v>
      </c>
      <c r="F493">
        <v>52.96</v>
      </c>
    </row>
    <row r="494" spans="1:6" x14ac:dyDescent="0.3">
      <c r="A494">
        <v>507685</v>
      </c>
      <c r="B494" s="2">
        <v>42430</v>
      </c>
      <c r="C494">
        <v>12522</v>
      </c>
      <c r="D494">
        <v>7891</v>
      </c>
      <c r="E494">
        <v>4631</v>
      </c>
      <c r="F494">
        <v>58.69</v>
      </c>
    </row>
    <row r="495" spans="1:6" x14ac:dyDescent="0.3">
      <c r="A495">
        <v>507685</v>
      </c>
      <c r="B495" s="2">
        <v>42795</v>
      </c>
      <c r="C495">
        <v>14241</v>
      </c>
      <c r="D495">
        <v>12522</v>
      </c>
      <c r="E495">
        <v>1719</v>
      </c>
      <c r="F495">
        <v>13.73</v>
      </c>
    </row>
    <row r="496" spans="1:6" x14ac:dyDescent="0.3">
      <c r="A496">
        <v>507685</v>
      </c>
      <c r="B496" s="2">
        <v>43160</v>
      </c>
      <c r="C496">
        <v>13901</v>
      </c>
      <c r="D496">
        <v>14241</v>
      </c>
      <c r="E496">
        <v>-340</v>
      </c>
      <c r="F496">
        <v>-2.39</v>
      </c>
    </row>
    <row r="497" spans="1:6" x14ac:dyDescent="0.3">
      <c r="A497">
        <v>507685</v>
      </c>
      <c r="B497" s="2">
        <v>43525</v>
      </c>
      <c r="C497">
        <v>9947</v>
      </c>
      <c r="D497">
        <v>13901</v>
      </c>
      <c r="E497">
        <v>-3954</v>
      </c>
      <c r="F497">
        <v>-28.44</v>
      </c>
    </row>
    <row r="498" spans="1:6" x14ac:dyDescent="0.3">
      <c r="A498">
        <v>507685</v>
      </c>
      <c r="B498" s="2">
        <v>43891</v>
      </c>
      <c r="C498">
        <v>9724</v>
      </c>
      <c r="D498">
        <v>9947</v>
      </c>
      <c r="E498">
        <v>-223</v>
      </c>
      <c r="F498">
        <v>-2.2400000000000002</v>
      </c>
    </row>
    <row r="499" spans="1:6" x14ac:dyDescent="0.3">
      <c r="A499">
        <v>507685</v>
      </c>
      <c r="B499" s="2">
        <v>44256</v>
      </c>
      <c r="C499">
        <v>10451</v>
      </c>
      <c r="D499">
        <v>9724</v>
      </c>
      <c r="E499">
        <v>727</v>
      </c>
      <c r="F499">
        <v>7.48</v>
      </c>
    </row>
    <row r="500" spans="1:6" x14ac:dyDescent="0.3">
      <c r="A500">
        <v>507685</v>
      </c>
      <c r="B500" s="2">
        <v>44621</v>
      </c>
      <c r="C500">
        <v>17593</v>
      </c>
      <c r="D500">
        <v>10451</v>
      </c>
      <c r="E500">
        <v>7142</v>
      </c>
      <c r="F500">
        <v>68.34</v>
      </c>
    </row>
    <row r="501" spans="1:6" x14ac:dyDescent="0.3">
      <c r="A501">
        <v>507685</v>
      </c>
      <c r="B501" s="2">
        <v>44986</v>
      </c>
      <c r="C501">
        <v>17467</v>
      </c>
      <c r="D501">
        <v>17593</v>
      </c>
      <c r="E501">
        <v>-126</v>
      </c>
      <c r="F501">
        <v>-0.72</v>
      </c>
    </row>
    <row r="502" spans="1:6" x14ac:dyDescent="0.3">
      <c r="A502">
        <v>508869</v>
      </c>
      <c r="B502" s="2">
        <v>40969</v>
      </c>
      <c r="C502">
        <v>817</v>
      </c>
      <c r="D502">
        <v>957</v>
      </c>
      <c r="E502">
        <v>-140</v>
      </c>
      <c r="F502">
        <v>-14.63</v>
      </c>
    </row>
    <row r="503" spans="1:6" x14ac:dyDescent="0.3">
      <c r="A503">
        <v>508869</v>
      </c>
      <c r="B503" s="2">
        <v>41334</v>
      </c>
      <c r="C503">
        <v>1213</v>
      </c>
      <c r="D503">
        <v>817</v>
      </c>
      <c r="E503">
        <v>396</v>
      </c>
      <c r="F503">
        <v>48.47</v>
      </c>
    </row>
    <row r="504" spans="1:6" x14ac:dyDescent="0.3">
      <c r="A504">
        <v>508869</v>
      </c>
      <c r="B504" s="2">
        <v>41699</v>
      </c>
      <c r="C504">
        <v>1344</v>
      </c>
      <c r="D504">
        <v>1213</v>
      </c>
      <c r="E504">
        <v>131</v>
      </c>
      <c r="F504">
        <v>10.8</v>
      </c>
    </row>
    <row r="505" spans="1:6" x14ac:dyDescent="0.3">
      <c r="A505">
        <v>508869</v>
      </c>
      <c r="B505" s="2">
        <v>42064</v>
      </c>
      <c r="C505">
        <v>1992</v>
      </c>
      <c r="D505">
        <v>1344</v>
      </c>
      <c r="E505">
        <v>648</v>
      </c>
      <c r="F505">
        <v>48.21</v>
      </c>
    </row>
    <row r="506" spans="1:6" x14ac:dyDescent="0.3">
      <c r="A506">
        <v>508869</v>
      </c>
      <c r="B506" s="2">
        <v>42430</v>
      </c>
      <c r="C506">
        <v>2834</v>
      </c>
      <c r="D506">
        <v>1992</v>
      </c>
      <c r="E506">
        <v>842</v>
      </c>
      <c r="F506">
        <v>42.27</v>
      </c>
    </row>
    <row r="507" spans="1:6" x14ac:dyDescent="0.3">
      <c r="A507">
        <v>508869</v>
      </c>
      <c r="B507" s="2">
        <v>42795</v>
      </c>
      <c r="C507">
        <v>3125</v>
      </c>
      <c r="D507">
        <v>2834</v>
      </c>
      <c r="E507">
        <v>291</v>
      </c>
      <c r="F507">
        <v>10.27</v>
      </c>
    </row>
    <row r="508" spans="1:6" x14ac:dyDescent="0.3">
      <c r="A508">
        <v>508869</v>
      </c>
      <c r="B508" s="2">
        <v>43160</v>
      </c>
      <c r="C508">
        <v>3427</v>
      </c>
      <c r="D508">
        <v>3125</v>
      </c>
      <c r="E508">
        <v>302</v>
      </c>
      <c r="F508">
        <v>9.66</v>
      </c>
    </row>
    <row r="509" spans="1:6" x14ac:dyDescent="0.3">
      <c r="A509">
        <v>508869</v>
      </c>
      <c r="B509" s="2">
        <v>43525</v>
      </c>
      <c r="C509">
        <v>3673</v>
      </c>
      <c r="D509">
        <v>3427</v>
      </c>
      <c r="E509">
        <v>246</v>
      </c>
      <c r="F509">
        <v>7.18</v>
      </c>
    </row>
    <row r="510" spans="1:6" x14ac:dyDescent="0.3">
      <c r="A510">
        <v>508869</v>
      </c>
      <c r="B510" s="2">
        <v>43891</v>
      </c>
      <c r="C510">
        <v>3596</v>
      </c>
      <c r="D510">
        <v>3673</v>
      </c>
      <c r="E510">
        <v>-77</v>
      </c>
      <c r="F510">
        <v>-2.1</v>
      </c>
    </row>
    <row r="511" spans="1:6" x14ac:dyDescent="0.3">
      <c r="A511">
        <v>508869</v>
      </c>
      <c r="B511" s="2">
        <v>44256</v>
      </c>
      <c r="C511">
        <v>4160</v>
      </c>
      <c r="D511">
        <v>3596</v>
      </c>
      <c r="E511">
        <v>564</v>
      </c>
      <c r="F511">
        <v>15.68</v>
      </c>
    </row>
    <row r="512" spans="1:6" x14ac:dyDescent="0.3">
      <c r="A512">
        <v>508869</v>
      </c>
      <c r="B512" s="2">
        <v>44621</v>
      </c>
      <c r="C512">
        <v>4068</v>
      </c>
      <c r="D512">
        <v>4160</v>
      </c>
      <c r="E512">
        <v>-92</v>
      </c>
      <c r="F512">
        <v>-2.21</v>
      </c>
    </row>
    <row r="513" spans="1:6" x14ac:dyDescent="0.3">
      <c r="A513">
        <v>508869</v>
      </c>
      <c r="B513" s="2">
        <v>44805</v>
      </c>
      <c r="C513">
        <v>3998</v>
      </c>
      <c r="D513">
        <v>4068</v>
      </c>
      <c r="E513">
        <v>-70</v>
      </c>
      <c r="F513">
        <v>-1.72</v>
      </c>
    </row>
    <row r="514" spans="1:6" x14ac:dyDescent="0.3">
      <c r="A514">
        <v>509480</v>
      </c>
      <c r="B514" s="2">
        <v>41334</v>
      </c>
      <c r="C514">
        <v>550</v>
      </c>
      <c r="D514">
        <v>418</v>
      </c>
      <c r="E514">
        <v>132</v>
      </c>
      <c r="F514">
        <v>31.58</v>
      </c>
    </row>
    <row r="515" spans="1:6" x14ac:dyDescent="0.3">
      <c r="A515">
        <v>509480</v>
      </c>
      <c r="B515" s="2">
        <v>41699</v>
      </c>
      <c r="C515">
        <v>624</v>
      </c>
      <c r="D515">
        <v>550</v>
      </c>
      <c r="E515">
        <v>74</v>
      </c>
      <c r="F515">
        <v>13.45</v>
      </c>
    </row>
    <row r="516" spans="1:6" x14ac:dyDescent="0.3">
      <c r="A516">
        <v>509480</v>
      </c>
      <c r="B516" s="2">
        <v>42064</v>
      </c>
      <c r="C516">
        <v>610</v>
      </c>
      <c r="D516">
        <v>624</v>
      </c>
      <c r="E516">
        <v>-14</v>
      </c>
      <c r="F516">
        <v>-2.2400000000000002</v>
      </c>
    </row>
    <row r="517" spans="1:6" x14ac:dyDescent="0.3">
      <c r="A517">
        <v>509480</v>
      </c>
      <c r="B517" s="2">
        <v>42430</v>
      </c>
      <c r="C517">
        <v>354</v>
      </c>
      <c r="D517">
        <v>610</v>
      </c>
      <c r="E517">
        <v>-256</v>
      </c>
      <c r="F517">
        <v>-41.97</v>
      </c>
    </row>
    <row r="518" spans="1:6" x14ac:dyDescent="0.3">
      <c r="A518">
        <v>509480</v>
      </c>
      <c r="B518" s="2">
        <v>42795</v>
      </c>
      <c r="C518">
        <v>406</v>
      </c>
      <c r="D518">
        <v>354</v>
      </c>
      <c r="E518">
        <v>52</v>
      </c>
      <c r="F518">
        <v>14.69</v>
      </c>
    </row>
    <row r="519" spans="1:6" x14ac:dyDescent="0.3">
      <c r="A519">
        <v>509480</v>
      </c>
      <c r="B519" s="2">
        <v>43160</v>
      </c>
      <c r="C519">
        <v>422</v>
      </c>
      <c r="D519">
        <v>406</v>
      </c>
      <c r="E519">
        <v>16</v>
      </c>
      <c r="F519">
        <v>3.94</v>
      </c>
    </row>
    <row r="520" spans="1:6" x14ac:dyDescent="0.3">
      <c r="A520">
        <v>509480</v>
      </c>
      <c r="B520" s="2">
        <v>43525</v>
      </c>
      <c r="C520">
        <v>753</v>
      </c>
      <c r="D520">
        <v>422</v>
      </c>
      <c r="E520">
        <v>331</v>
      </c>
      <c r="F520">
        <v>78.44</v>
      </c>
    </row>
    <row r="521" spans="1:6" x14ac:dyDescent="0.3">
      <c r="A521">
        <v>509480</v>
      </c>
      <c r="B521" s="2">
        <v>43891</v>
      </c>
      <c r="C521">
        <v>767</v>
      </c>
      <c r="D521">
        <v>753</v>
      </c>
      <c r="E521">
        <v>14</v>
      </c>
      <c r="F521">
        <v>1.86</v>
      </c>
    </row>
    <row r="522" spans="1:6" x14ac:dyDescent="0.3">
      <c r="A522">
        <v>509480</v>
      </c>
      <c r="B522" s="2">
        <v>44256</v>
      </c>
      <c r="C522">
        <v>634</v>
      </c>
      <c r="D522">
        <v>767</v>
      </c>
      <c r="E522">
        <v>-133</v>
      </c>
      <c r="F522">
        <v>-17.34</v>
      </c>
    </row>
    <row r="523" spans="1:6" x14ac:dyDescent="0.3">
      <c r="A523">
        <v>509480</v>
      </c>
      <c r="B523" s="2">
        <v>44621</v>
      </c>
      <c r="C523">
        <v>1014</v>
      </c>
      <c r="D523">
        <v>634</v>
      </c>
      <c r="E523">
        <v>380</v>
      </c>
      <c r="F523">
        <v>59.94</v>
      </c>
    </row>
    <row r="524" spans="1:6" x14ac:dyDescent="0.3">
      <c r="A524">
        <v>509480</v>
      </c>
      <c r="B524" s="2">
        <v>44986</v>
      </c>
      <c r="C524">
        <v>1189</v>
      </c>
      <c r="D524">
        <v>1014</v>
      </c>
      <c r="E524">
        <v>175</v>
      </c>
      <c r="F524">
        <v>17.260000000000002</v>
      </c>
    </row>
    <row r="525" spans="1:6" x14ac:dyDescent="0.3">
      <c r="A525">
        <v>511243</v>
      </c>
      <c r="B525" s="2">
        <v>41334</v>
      </c>
      <c r="C525">
        <v>15269</v>
      </c>
      <c r="D525">
        <v>11444</v>
      </c>
      <c r="E525">
        <v>3825</v>
      </c>
      <c r="F525">
        <v>33.42</v>
      </c>
    </row>
    <row r="526" spans="1:6" x14ac:dyDescent="0.3">
      <c r="A526">
        <v>511243</v>
      </c>
      <c r="B526" s="2">
        <v>41699</v>
      </c>
      <c r="C526">
        <v>18075</v>
      </c>
      <c r="D526">
        <v>15269</v>
      </c>
      <c r="E526">
        <v>2806</v>
      </c>
      <c r="F526">
        <v>18.38</v>
      </c>
    </row>
    <row r="527" spans="1:6" x14ac:dyDescent="0.3">
      <c r="A527">
        <v>511243</v>
      </c>
      <c r="B527" s="2">
        <v>42064</v>
      </c>
      <c r="C527">
        <v>19450</v>
      </c>
      <c r="D527">
        <v>18075</v>
      </c>
      <c r="E527">
        <v>1375</v>
      </c>
      <c r="F527">
        <v>7.61</v>
      </c>
    </row>
    <row r="528" spans="1:6" x14ac:dyDescent="0.3">
      <c r="A528">
        <v>511243</v>
      </c>
      <c r="B528" s="2">
        <v>42430</v>
      </c>
      <c r="C528">
        <v>22546</v>
      </c>
      <c r="D528">
        <v>19450</v>
      </c>
      <c r="E528">
        <v>3096</v>
      </c>
      <c r="F528">
        <v>15.92</v>
      </c>
    </row>
    <row r="529" spans="1:6" x14ac:dyDescent="0.3">
      <c r="A529">
        <v>511243</v>
      </c>
      <c r="B529" s="2">
        <v>42795</v>
      </c>
      <c r="C529">
        <v>24071</v>
      </c>
      <c r="D529">
        <v>22546</v>
      </c>
      <c r="E529">
        <v>1525</v>
      </c>
      <c r="F529">
        <v>6.76</v>
      </c>
    </row>
    <row r="530" spans="1:6" x14ac:dyDescent="0.3">
      <c r="A530">
        <v>511243</v>
      </c>
      <c r="B530" s="2">
        <v>43160</v>
      </c>
      <c r="C530">
        <v>38330</v>
      </c>
      <c r="D530">
        <v>24071</v>
      </c>
      <c r="E530">
        <v>14259</v>
      </c>
      <c r="F530">
        <v>59.24</v>
      </c>
    </row>
    <row r="531" spans="1:6" x14ac:dyDescent="0.3">
      <c r="A531">
        <v>511243</v>
      </c>
      <c r="B531" s="2">
        <v>43525</v>
      </c>
      <c r="C531">
        <v>50567</v>
      </c>
      <c r="D531">
        <v>38330</v>
      </c>
      <c r="E531">
        <v>12237</v>
      </c>
      <c r="F531">
        <v>31.93</v>
      </c>
    </row>
    <row r="532" spans="1:6" x14ac:dyDescent="0.3">
      <c r="A532">
        <v>511243</v>
      </c>
      <c r="B532" s="2">
        <v>43891</v>
      </c>
      <c r="C532">
        <v>55005</v>
      </c>
      <c r="D532">
        <v>50567</v>
      </c>
      <c r="E532">
        <v>4438</v>
      </c>
      <c r="F532">
        <v>8.7799999999999994</v>
      </c>
    </row>
    <row r="533" spans="1:6" x14ac:dyDescent="0.3">
      <c r="A533">
        <v>511243</v>
      </c>
      <c r="B533" s="2">
        <v>44256</v>
      </c>
      <c r="C533">
        <v>63730</v>
      </c>
      <c r="D533">
        <v>55005</v>
      </c>
      <c r="E533">
        <v>8725</v>
      </c>
      <c r="F533">
        <v>15.86</v>
      </c>
    </row>
    <row r="534" spans="1:6" x14ac:dyDescent="0.3">
      <c r="A534">
        <v>511243</v>
      </c>
      <c r="B534" s="2">
        <v>44621</v>
      </c>
      <c r="C534">
        <v>69174</v>
      </c>
      <c r="D534">
        <v>63730</v>
      </c>
      <c r="E534">
        <v>5444</v>
      </c>
      <c r="F534">
        <v>8.5399999999999991</v>
      </c>
    </row>
    <row r="535" spans="1:6" x14ac:dyDescent="0.3">
      <c r="A535">
        <v>511243</v>
      </c>
      <c r="B535" s="2">
        <v>44986</v>
      </c>
      <c r="C535">
        <v>97358</v>
      </c>
      <c r="D535">
        <v>69174</v>
      </c>
      <c r="E535">
        <v>28184</v>
      </c>
      <c r="F535">
        <v>40.74</v>
      </c>
    </row>
    <row r="536" spans="1:6" x14ac:dyDescent="0.3">
      <c r="A536">
        <v>512070</v>
      </c>
      <c r="B536" s="2">
        <v>41334</v>
      </c>
      <c r="C536">
        <v>4203</v>
      </c>
      <c r="D536">
        <v>3389</v>
      </c>
      <c r="E536">
        <v>814</v>
      </c>
      <c r="F536">
        <v>24.02</v>
      </c>
    </row>
    <row r="537" spans="1:6" x14ac:dyDescent="0.3">
      <c r="A537">
        <v>512070</v>
      </c>
      <c r="B537" s="2">
        <v>41699</v>
      </c>
      <c r="C537">
        <v>3349</v>
      </c>
      <c r="D537">
        <v>4203</v>
      </c>
      <c r="E537">
        <v>-854</v>
      </c>
      <c r="F537">
        <v>-20.32</v>
      </c>
    </row>
    <row r="538" spans="1:6" x14ac:dyDescent="0.3">
      <c r="A538">
        <v>512070</v>
      </c>
      <c r="B538" s="2">
        <v>42064</v>
      </c>
      <c r="C538">
        <v>3281</v>
      </c>
      <c r="D538">
        <v>3349</v>
      </c>
      <c r="E538">
        <v>-68</v>
      </c>
      <c r="F538">
        <v>-2.0299999999999998</v>
      </c>
    </row>
    <row r="539" spans="1:6" x14ac:dyDescent="0.3">
      <c r="A539">
        <v>512070</v>
      </c>
      <c r="B539" s="2">
        <v>42430</v>
      </c>
      <c r="C539">
        <v>5258</v>
      </c>
      <c r="D539">
        <v>3281</v>
      </c>
      <c r="E539">
        <v>1977</v>
      </c>
      <c r="F539">
        <v>60.26</v>
      </c>
    </row>
    <row r="540" spans="1:6" x14ac:dyDescent="0.3">
      <c r="A540">
        <v>512070</v>
      </c>
      <c r="B540" s="2">
        <v>42795</v>
      </c>
      <c r="C540">
        <v>6361</v>
      </c>
      <c r="D540">
        <v>5258</v>
      </c>
      <c r="E540">
        <v>1103</v>
      </c>
      <c r="F540">
        <v>20.98</v>
      </c>
    </row>
    <row r="541" spans="1:6" x14ac:dyDescent="0.3">
      <c r="A541">
        <v>512070</v>
      </c>
      <c r="B541" s="2">
        <v>43160</v>
      </c>
      <c r="C541">
        <v>6638</v>
      </c>
      <c r="D541">
        <v>6361</v>
      </c>
      <c r="E541">
        <v>277</v>
      </c>
      <c r="F541">
        <v>4.3499999999999996</v>
      </c>
    </row>
    <row r="542" spans="1:6" x14ac:dyDescent="0.3">
      <c r="A542">
        <v>512070</v>
      </c>
      <c r="B542" s="2">
        <v>43525</v>
      </c>
      <c r="C542">
        <v>29139</v>
      </c>
      <c r="D542">
        <v>6638</v>
      </c>
      <c r="E542">
        <v>22501</v>
      </c>
      <c r="F542">
        <v>338.97</v>
      </c>
    </row>
    <row r="543" spans="1:6" x14ac:dyDescent="0.3">
      <c r="A543">
        <v>512070</v>
      </c>
      <c r="B543" s="2">
        <v>43891</v>
      </c>
      <c r="C543">
        <v>29388</v>
      </c>
      <c r="D543">
        <v>29139</v>
      </c>
      <c r="E543">
        <v>249</v>
      </c>
      <c r="F543">
        <v>0.85</v>
      </c>
    </row>
    <row r="544" spans="1:6" x14ac:dyDescent="0.3">
      <c r="A544">
        <v>512070</v>
      </c>
      <c r="B544" s="2">
        <v>44256</v>
      </c>
      <c r="C544">
        <v>24519</v>
      </c>
      <c r="D544">
        <v>29388</v>
      </c>
      <c r="E544">
        <v>-4869</v>
      </c>
      <c r="F544">
        <v>-16.57</v>
      </c>
    </row>
    <row r="545" spans="1:6" x14ac:dyDescent="0.3">
      <c r="A545">
        <v>512070</v>
      </c>
      <c r="B545" s="2">
        <v>44621</v>
      </c>
      <c r="C545">
        <v>26746</v>
      </c>
      <c r="D545">
        <v>24519</v>
      </c>
      <c r="E545">
        <v>2227</v>
      </c>
      <c r="F545">
        <v>9.08</v>
      </c>
    </row>
    <row r="546" spans="1:6" x14ac:dyDescent="0.3">
      <c r="A546">
        <v>512070</v>
      </c>
      <c r="B546" s="2">
        <v>44986</v>
      </c>
      <c r="C546">
        <v>23939</v>
      </c>
      <c r="D546">
        <v>26746</v>
      </c>
      <c r="E546">
        <v>-2807</v>
      </c>
      <c r="F546">
        <v>-10.5</v>
      </c>
    </row>
    <row r="547" spans="1:6" x14ac:dyDescent="0.3">
      <c r="A547">
        <v>512599</v>
      </c>
      <c r="B547" s="2">
        <v>41334</v>
      </c>
      <c r="C547">
        <v>69332</v>
      </c>
      <c r="D547">
        <v>69479</v>
      </c>
      <c r="E547">
        <v>-147</v>
      </c>
      <c r="F547">
        <v>-0.21</v>
      </c>
    </row>
    <row r="548" spans="1:6" x14ac:dyDescent="0.3">
      <c r="A548">
        <v>512599</v>
      </c>
      <c r="B548" s="2">
        <v>41699</v>
      </c>
      <c r="C548">
        <v>71980</v>
      </c>
      <c r="D548">
        <v>69332</v>
      </c>
      <c r="E548">
        <v>2648</v>
      </c>
      <c r="F548">
        <v>3.82</v>
      </c>
    </row>
    <row r="549" spans="1:6" x14ac:dyDescent="0.3">
      <c r="A549">
        <v>512599</v>
      </c>
      <c r="B549" s="2">
        <v>42064</v>
      </c>
      <c r="C549">
        <v>83571</v>
      </c>
      <c r="D549">
        <v>71980</v>
      </c>
      <c r="E549">
        <v>11591</v>
      </c>
      <c r="F549">
        <v>16.100000000000001</v>
      </c>
    </row>
    <row r="550" spans="1:6" x14ac:dyDescent="0.3">
      <c r="A550">
        <v>512599</v>
      </c>
      <c r="B550" s="2">
        <v>42430</v>
      </c>
      <c r="C550">
        <v>19169</v>
      </c>
      <c r="D550">
        <v>83571</v>
      </c>
      <c r="E550">
        <v>-64402</v>
      </c>
      <c r="F550">
        <v>-77.06</v>
      </c>
    </row>
    <row r="551" spans="1:6" x14ac:dyDescent="0.3">
      <c r="A551">
        <v>512599</v>
      </c>
      <c r="B551" s="2">
        <v>42795</v>
      </c>
      <c r="C551">
        <v>20846</v>
      </c>
      <c r="D551">
        <v>19169</v>
      </c>
      <c r="E551">
        <v>1677</v>
      </c>
      <c r="F551">
        <v>8.75</v>
      </c>
    </row>
    <row r="552" spans="1:6" x14ac:dyDescent="0.3">
      <c r="A552">
        <v>512599</v>
      </c>
      <c r="B552" s="2">
        <v>43160</v>
      </c>
      <c r="C552">
        <v>17637</v>
      </c>
      <c r="D552">
        <v>20846</v>
      </c>
      <c r="E552">
        <v>-3209</v>
      </c>
      <c r="F552">
        <v>-15.39</v>
      </c>
    </row>
    <row r="553" spans="1:6" x14ac:dyDescent="0.3">
      <c r="A553">
        <v>512599</v>
      </c>
      <c r="B553" s="2">
        <v>43525</v>
      </c>
      <c r="C553">
        <v>11243</v>
      </c>
      <c r="D553">
        <v>17637</v>
      </c>
      <c r="E553">
        <v>-6394</v>
      </c>
      <c r="F553">
        <v>-36.25</v>
      </c>
    </row>
    <row r="554" spans="1:6" x14ac:dyDescent="0.3">
      <c r="A554">
        <v>512599</v>
      </c>
      <c r="B554" s="2">
        <v>43891</v>
      </c>
      <c r="C554">
        <v>12419</v>
      </c>
      <c r="D554">
        <v>11243</v>
      </c>
      <c r="E554">
        <v>1176</v>
      </c>
      <c r="F554">
        <v>10.46</v>
      </c>
    </row>
    <row r="555" spans="1:6" x14ac:dyDescent="0.3">
      <c r="A555">
        <v>512599</v>
      </c>
      <c r="B555" s="2">
        <v>44256</v>
      </c>
      <c r="C555">
        <v>16227</v>
      </c>
      <c r="D555">
        <v>12419</v>
      </c>
      <c r="E555">
        <v>3808</v>
      </c>
      <c r="F555">
        <v>30.66</v>
      </c>
    </row>
    <row r="556" spans="1:6" x14ac:dyDescent="0.3">
      <c r="A556">
        <v>512599</v>
      </c>
      <c r="B556" s="2">
        <v>44621</v>
      </c>
      <c r="C556">
        <v>41604</v>
      </c>
      <c r="D556">
        <v>16227</v>
      </c>
      <c r="E556">
        <v>25377</v>
      </c>
      <c r="F556">
        <v>156.38999999999999</v>
      </c>
    </row>
    <row r="557" spans="1:6" x14ac:dyDescent="0.3">
      <c r="A557">
        <v>512599</v>
      </c>
      <c r="B557" s="2">
        <v>44986</v>
      </c>
      <c r="C557">
        <v>53200</v>
      </c>
      <c r="D557">
        <v>41604</v>
      </c>
      <c r="E557">
        <v>11596</v>
      </c>
      <c r="F557">
        <v>27.87</v>
      </c>
    </row>
    <row r="558" spans="1:6" x14ac:dyDescent="0.3">
      <c r="A558">
        <v>517334</v>
      </c>
      <c r="B558" s="2">
        <v>41334</v>
      </c>
      <c r="C558">
        <v>927</v>
      </c>
      <c r="D558">
        <v>940</v>
      </c>
      <c r="E558">
        <v>-13</v>
      </c>
      <c r="F558">
        <v>-1.38</v>
      </c>
    </row>
    <row r="559" spans="1:6" x14ac:dyDescent="0.3">
      <c r="A559">
        <v>517334</v>
      </c>
      <c r="B559" s="2">
        <v>41699</v>
      </c>
      <c r="C559">
        <v>758</v>
      </c>
      <c r="D559">
        <v>927</v>
      </c>
      <c r="E559">
        <v>-169</v>
      </c>
      <c r="F559">
        <v>-18.23</v>
      </c>
    </row>
    <row r="560" spans="1:6" x14ac:dyDescent="0.3">
      <c r="A560">
        <v>517334</v>
      </c>
      <c r="B560" s="2">
        <v>42064</v>
      </c>
      <c r="C560">
        <v>534</v>
      </c>
      <c r="D560">
        <v>758</v>
      </c>
      <c r="E560">
        <v>-224</v>
      </c>
      <c r="F560">
        <v>-29.55</v>
      </c>
    </row>
    <row r="561" spans="1:6" x14ac:dyDescent="0.3">
      <c r="A561">
        <v>517334</v>
      </c>
      <c r="B561" s="2">
        <v>42430</v>
      </c>
      <c r="C561">
        <v>485</v>
      </c>
      <c r="D561">
        <v>534</v>
      </c>
      <c r="E561">
        <v>-49</v>
      </c>
      <c r="F561">
        <v>-9.18</v>
      </c>
    </row>
    <row r="562" spans="1:6" x14ac:dyDescent="0.3">
      <c r="A562">
        <v>517334</v>
      </c>
      <c r="B562" s="2">
        <v>42795</v>
      </c>
      <c r="C562">
        <v>1294</v>
      </c>
      <c r="D562">
        <v>485</v>
      </c>
      <c r="E562">
        <v>809</v>
      </c>
      <c r="F562">
        <v>166.8</v>
      </c>
    </row>
    <row r="563" spans="1:6" x14ac:dyDescent="0.3">
      <c r="A563">
        <v>517334</v>
      </c>
      <c r="B563" s="2">
        <v>43160</v>
      </c>
      <c r="C563">
        <v>1155</v>
      </c>
      <c r="D563">
        <v>1294</v>
      </c>
      <c r="E563">
        <v>-139</v>
      </c>
      <c r="F563">
        <v>-10.74</v>
      </c>
    </row>
    <row r="564" spans="1:6" x14ac:dyDescent="0.3">
      <c r="A564">
        <v>517334</v>
      </c>
      <c r="B564" s="2">
        <v>43525</v>
      </c>
      <c r="C564">
        <v>1136</v>
      </c>
      <c r="D564">
        <v>1155</v>
      </c>
      <c r="E564">
        <v>-19</v>
      </c>
      <c r="F564">
        <v>-1.65</v>
      </c>
    </row>
    <row r="565" spans="1:6" x14ac:dyDescent="0.3">
      <c r="A565">
        <v>517334</v>
      </c>
      <c r="B565" s="2">
        <v>43891</v>
      </c>
      <c r="C565">
        <v>1512</v>
      </c>
      <c r="D565">
        <v>1136</v>
      </c>
      <c r="E565">
        <v>376</v>
      </c>
      <c r="F565">
        <v>33.1</v>
      </c>
    </row>
    <row r="566" spans="1:6" x14ac:dyDescent="0.3">
      <c r="A566">
        <v>517334</v>
      </c>
      <c r="B566" s="2">
        <v>44256</v>
      </c>
      <c r="C566">
        <v>4852</v>
      </c>
      <c r="D566">
        <v>1512</v>
      </c>
      <c r="E566">
        <v>3340</v>
      </c>
      <c r="F566">
        <v>220.9</v>
      </c>
    </row>
    <row r="567" spans="1:6" x14ac:dyDescent="0.3">
      <c r="A567">
        <v>517334</v>
      </c>
      <c r="B567" s="2">
        <v>44621</v>
      </c>
      <c r="C567">
        <v>5416</v>
      </c>
      <c r="D567">
        <v>4852</v>
      </c>
      <c r="E567">
        <v>564</v>
      </c>
      <c r="F567">
        <v>11.62</v>
      </c>
    </row>
    <row r="568" spans="1:6" x14ac:dyDescent="0.3">
      <c r="A568">
        <v>517334</v>
      </c>
      <c r="B568" s="2">
        <v>44986</v>
      </c>
      <c r="C568">
        <v>5767</v>
      </c>
      <c r="D568">
        <v>5416</v>
      </c>
      <c r="E568">
        <v>351</v>
      </c>
      <c r="F568">
        <v>6.48</v>
      </c>
    </row>
    <row r="569" spans="1:6" x14ac:dyDescent="0.3">
      <c r="A569">
        <v>517354</v>
      </c>
      <c r="B569" s="2">
        <v>41334</v>
      </c>
      <c r="C569">
        <v>982</v>
      </c>
      <c r="D569">
        <v>1027</v>
      </c>
      <c r="E569">
        <v>-45</v>
      </c>
      <c r="F569">
        <v>-4.38</v>
      </c>
    </row>
    <row r="570" spans="1:6" x14ac:dyDescent="0.3">
      <c r="A570">
        <v>517354</v>
      </c>
      <c r="B570" s="2">
        <v>41699</v>
      </c>
      <c r="C570">
        <v>1054</v>
      </c>
      <c r="D570">
        <v>982</v>
      </c>
      <c r="E570">
        <v>72</v>
      </c>
      <c r="F570">
        <v>7.33</v>
      </c>
    </row>
    <row r="571" spans="1:6" x14ac:dyDescent="0.3">
      <c r="A571">
        <v>517354</v>
      </c>
      <c r="B571" s="2">
        <v>42064</v>
      </c>
      <c r="C571">
        <v>424</v>
      </c>
      <c r="D571">
        <v>1054</v>
      </c>
      <c r="E571">
        <v>-630</v>
      </c>
      <c r="F571">
        <v>-59.77</v>
      </c>
    </row>
    <row r="572" spans="1:6" x14ac:dyDescent="0.3">
      <c r="A572">
        <v>517354</v>
      </c>
      <c r="B572" s="2">
        <v>42430</v>
      </c>
      <c r="C572">
        <v>134</v>
      </c>
      <c r="D572">
        <v>424</v>
      </c>
      <c r="E572">
        <v>-290</v>
      </c>
      <c r="F572">
        <v>-68.400000000000006</v>
      </c>
    </row>
    <row r="573" spans="1:6" x14ac:dyDescent="0.3">
      <c r="A573">
        <v>517354</v>
      </c>
      <c r="B573" s="2">
        <v>42795</v>
      </c>
      <c r="C573">
        <v>208</v>
      </c>
      <c r="D573">
        <v>134</v>
      </c>
      <c r="E573">
        <v>74</v>
      </c>
      <c r="F573">
        <v>55.22</v>
      </c>
    </row>
    <row r="574" spans="1:6" x14ac:dyDescent="0.3">
      <c r="A574">
        <v>517354</v>
      </c>
      <c r="B574" s="2">
        <v>43160</v>
      </c>
      <c r="C574">
        <v>115</v>
      </c>
      <c r="D574">
        <v>208</v>
      </c>
      <c r="E574">
        <v>-93</v>
      </c>
      <c r="F574">
        <v>-44.71</v>
      </c>
    </row>
    <row r="575" spans="1:6" x14ac:dyDescent="0.3">
      <c r="A575">
        <v>517354</v>
      </c>
      <c r="B575" s="2">
        <v>43525</v>
      </c>
      <c r="C575">
        <v>94</v>
      </c>
      <c r="D575">
        <v>115</v>
      </c>
      <c r="E575">
        <v>-21</v>
      </c>
      <c r="F575">
        <v>-18.260000000000002</v>
      </c>
    </row>
    <row r="576" spans="1:6" x14ac:dyDescent="0.3">
      <c r="A576">
        <v>517354</v>
      </c>
      <c r="B576" s="2">
        <v>43891</v>
      </c>
      <c r="C576">
        <v>72</v>
      </c>
      <c r="D576">
        <v>94</v>
      </c>
      <c r="E576">
        <v>-22</v>
      </c>
      <c r="F576">
        <v>-23.4</v>
      </c>
    </row>
    <row r="577" spans="1:6" x14ac:dyDescent="0.3">
      <c r="A577">
        <v>517354</v>
      </c>
      <c r="B577" s="2">
        <v>44256</v>
      </c>
      <c r="C577">
        <v>521</v>
      </c>
      <c r="D577">
        <v>72</v>
      </c>
      <c r="E577">
        <v>449</v>
      </c>
      <c r="F577">
        <v>623.61</v>
      </c>
    </row>
    <row r="578" spans="1:6" x14ac:dyDescent="0.3">
      <c r="A578">
        <v>517354</v>
      </c>
      <c r="B578" s="2">
        <v>44621</v>
      </c>
      <c r="C578">
        <v>438</v>
      </c>
      <c r="D578">
        <v>521</v>
      </c>
      <c r="E578">
        <v>-83</v>
      </c>
      <c r="F578">
        <v>-15.93</v>
      </c>
    </row>
    <row r="579" spans="1:6" x14ac:dyDescent="0.3">
      <c r="A579">
        <v>517354</v>
      </c>
      <c r="B579" s="2">
        <v>44986</v>
      </c>
      <c r="C579">
        <v>223</v>
      </c>
      <c r="D579">
        <v>438</v>
      </c>
      <c r="E579">
        <v>-215</v>
      </c>
      <c r="F579">
        <v>-49.09</v>
      </c>
    </row>
    <row r="580" spans="1:6" x14ac:dyDescent="0.3">
      <c r="A580">
        <v>524715</v>
      </c>
      <c r="B580" s="2">
        <v>41334</v>
      </c>
      <c r="C580">
        <v>260</v>
      </c>
      <c r="D580">
        <v>321</v>
      </c>
      <c r="E580">
        <v>-61</v>
      </c>
      <c r="F580">
        <v>-19</v>
      </c>
    </row>
    <row r="581" spans="1:6" x14ac:dyDescent="0.3">
      <c r="A581">
        <v>524715</v>
      </c>
      <c r="B581" s="2">
        <v>41699</v>
      </c>
      <c r="C581">
        <v>2561</v>
      </c>
      <c r="D581">
        <v>260</v>
      </c>
      <c r="E581">
        <v>2301</v>
      </c>
      <c r="F581">
        <v>885</v>
      </c>
    </row>
    <row r="582" spans="1:6" x14ac:dyDescent="0.3">
      <c r="A582">
        <v>524715</v>
      </c>
      <c r="B582" s="2">
        <v>42064</v>
      </c>
      <c r="C582">
        <v>8996</v>
      </c>
      <c r="D582">
        <v>2561</v>
      </c>
      <c r="E582">
        <v>6435</v>
      </c>
      <c r="F582">
        <v>251.27</v>
      </c>
    </row>
    <row r="583" spans="1:6" x14ac:dyDescent="0.3">
      <c r="A583">
        <v>524715</v>
      </c>
      <c r="B583" s="2">
        <v>42430</v>
      </c>
      <c r="C583">
        <v>8497</v>
      </c>
      <c r="D583">
        <v>8996</v>
      </c>
      <c r="E583">
        <v>-499</v>
      </c>
      <c r="F583">
        <v>-5.55</v>
      </c>
    </row>
    <row r="584" spans="1:6" x14ac:dyDescent="0.3">
      <c r="A584">
        <v>524715</v>
      </c>
      <c r="B584" s="2">
        <v>42795</v>
      </c>
      <c r="C584">
        <v>9832</v>
      </c>
      <c r="D584">
        <v>8497</v>
      </c>
      <c r="E584">
        <v>1335</v>
      </c>
      <c r="F584">
        <v>15.71</v>
      </c>
    </row>
    <row r="585" spans="1:6" x14ac:dyDescent="0.3">
      <c r="A585">
        <v>524715</v>
      </c>
      <c r="B585" s="2">
        <v>43160</v>
      </c>
      <c r="C585">
        <v>10385</v>
      </c>
      <c r="D585">
        <v>9832</v>
      </c>
      <c r="E585">
        <v>553</v>
      </c>
      <c r="F585">
        <v>5.62</v>
      </c>
    </row>
    <row r="586" spans="1:6" x14ac:dyDescent="0.3">
      <c r="A586">
        <v>524715</v>
      </c>
      <c r="B586" s="2">
        <v>43525</v>
      </c>
      <c r="C586">
        <v>10514</v>
      </c>
      <c r="D586">
        <v>10385</v>
      </c>
      <c r="E586">
        <v>129</v>
      </c>
      <c r="F586">
        <v>1.24</v>
      </c>
    </row>
    <row r="587" spans="1:6" x14ac:dyDescent="0.3">
      <c r="A587">
        <v>524715</v>
      </c>
      <c r="B587" s="2">
        <v>43891</v>
      </c>
      <c r="C587">
        <v>8315</v>
      </c>
      <c r="D587">
        <v>10514</v>
      </c>
      <c r="E587">
        <v>-2199</v>
      </c>
      <c r="F587">
        <v>-20.91</v>
      </c>
    </row>
    <row r="588" spans="1:6" x14ac:dyDescent="0.3">
      <c r="A588">
        <v>524715</v>
      </c>
      <c r="B588" s="2">
        <v>44256</v>
      </c>
      <c r="C588">
        <v>3869</v>
      </c>
      <c r="D588">
        <v>8315</v>
      </c>
      <c r="E588">
        <v>-4446</v>
      </c>
      <c r="F588">
        <v>-53.47</v>
      </c>
    </row>
    <row r="589" spans="1:6" x14ac:dyDescent="0.3">
      <c r="A589">
        <v>524715</v>
      </c>
      <c r="B589" s="2">
        <v>44621</v>
      </c>
      <c r="C589">
        <v>1290</v>
      </c>
      <c r="D589">
        <v>3869</v>
      </c>
      <c r="E589">
        <v>-2579</v>
      </c>
      <c r="F589">
        <v>-66.66</v>
      </c>
    </row>
    <row r="590" spans="1:6" x14ac:dyDescent="0.3">
      <c r="A590">
        <v>524715</v>
      </c>
      <c r="B590" s="2">
        <v>44986</v>
      </c>
      <c r="C590">
        <v>6886</v>
      </c>
      <c r="D590">
        <v>1290</v>
      </c>
      <c r="E590">
        <v>5596</v>
      </c>
      <c r="F590">
        <v>433.8</v>
      </c>
    </row>
    <row r="591" spans="1:6" x14ac:dyDescent="0.3">
      <c r="A591">
        <v>530965</v>
      </c>
      <c r="B591" s="2">
        <v>41334</v>
      </c>
      <c r="C591">
        <v>89671</v>
      </c>
      <c r="D591">
        <v>80015</v>
      </c>
      <c r="E591">
        <v>9656</v>
      </c>
      <c r="F591">
        <v>12.07</v>
      </c>
    </row>
    <row r="592" spans="1:6" x14ac:dyDescent="0.3">
      <c r="A592">
        <v>530965</v>
      </c>
      <c r="B592" s="2">
        <v>41699</v>
      </c>
      <c r="C592">
        <v>94916</v>
      </c>
      <c r="D592">
        <v>89671</v>
      </c>
      <c r="E592">
        <v>5245</v>
      </c>
      <c r="F592">
        <v>5.85</v>
      </c>
    </row>
    <row r="593" spans="1:6" x14ac:dyDescent="0.3">
      <c r="A593">
        <v>530965</v>
      </c>
      <c r="B593" s="2">
        <v>42064</v>
      </c>
      <c r="C593">
        <v>64893</v>
      </c>
      <c r="D593">
        <v>94916</v>
      </c>
      <c r="E593">
        <v>-30023</v>
      </c>
      <c r="F593">
        <v>-31.63</v>
      </c>
    </row>
    <row r="594" spans="1:6" x14ac:dyDescent="0.3">
      <c r="A594">
        <v>530965</v>
      </c>
      <c r="B594" s="2">
        <v>42430</v>
      </c>
      <c r="C594">
        <v>58552</v>
      </c>
      <c r="D594">
        <v>64893</v>
      </c>
      <c r="E594">
        <v>-6341</v>
      </c>
      <c r="F594">
        <v>-9.77</v>
      </c>
    </row>
    <row r="595" spans="1:6" x14ac:dyDescent="0.3">
      <c r="A595">
        <v>530965</v>
      </c>
      <c r="B595" s="2">
        <v>42795</v>
      </c>
      <c r="C595">
        <v>63271</v>
      </c>
      <c r="D595">
        <v>58552</v>
      </c>
      <c r="E595">
        <v>4719</v>
      </c>
      <c r="F595">
        <v>8.06</v>
      </c>
    </row>
    <row r="596" spans="1:6" x14ac:dyDescent="0.3">
      <c r="A596">
        <v>530965</v>
      </c>
      <c r="B596" s="2">
        <v>43160</v>
      </c>
      <c r="C596">
        <v>65650</v>
      </c>
      <c r="D596">
        <v>63271</v>
      </c>
      <c r="E596">
        <v>2379</v>
      </c>
      <c r="F596">
        <v>3.76</v>
      </c>
    </row>
    <row r="597" spans="1:6" x14ac:dyDescent="0.3">
      <c r="A597">
        <v>530965</v>
      </c>
      <c r="B597" s="2">
        <v>43525</v>
      </c>
      <c r="C597">
        <v>96765</v>
      </c>
      <c r="D597">
        <v>65650</v>
      </c>
      <c r="E597">
        <v>31115</v>
      </c>
      <c r="F597">
        <v>47.4</v>
      </c>
    </row>
    <row r="598" spans="1:6" x14ac:dyDescent="0.3">
      <c r="A598">
        <v>530965</v>
      </c>
      <c r="B598" s="2">
        <v>43891</v>
      </c>
      <c r="C598">
        <v>129790</v>
      </c>
      <c r="D598">
        <v>96765</v>
      </c>
      <c r="E598">
        <v>33025</v>
      </c>
      <c r="F598">
        <v>34.130000000000003</v>
      </c>
    </row>
    <row r="599" spans="1:6" x14ac:dyDescent="0.3">
      <c r="A599">
        <v>530965</v>
      </c>
      <c r="B599" s="2">
        <v>44256</v>
      </c>
      <c r="C599">
        <v>116649</v>
      </c>
      <c r="D599">
        <v>129790</v>
      </c>
      <c r="E599">
        <v>-13141</v>
      </c>
      <c r="F599">
        <v>-10.119999999999999</v>
      </c>
    </row>
    <row r="600" spans="1:6" x14ac:dyDescent="0.3">
      <c r="A600">
        <v>530965</v>
      </c>
      <c r="B600" s="2">
        <v>44621</v>
      </c>
      <c r="C600">
        <v>132020</v>
      </c>
      <c r="D600">
        <v>116649</v>
      </c>
      <c r="E600">
        <v>15371</v>
      </c>
      <c r="F600">
        <v>13.18</v>
      </c>
    </row>
    <row r="601" spans="1:6" x14ac:dyDescent="0.3">
      <c r="A601">
        <v>530965</v>
      </c>
      <c r="B601" s="2">
        <v>44986</v>
      </c>
      <c r="C601">
        <v>148977</v>
      </c>
      <c r="D601">
        <v>132020</v>
      </c>
      <c r="E601">
        <v>16957</v>
      </c>
      <c r="F601">
        <v>12.84</v>
      </c>
    </row>
    <row r="602" spans="1:6" x14ac:dyDescent="0.3">
      <c r="A602">
        <v>531642</v>
      </c>
      <c r="B602" s="2">
        <v>41334</v>
      </c>
      <c r="C602">
        <v>872</v>
      </c>
      <c r="D602">
        <v>785</v>
      </c>
      <c r="E602">
        <v>87</v>
      </c>
      <c r="F602">
        <v>11.08</v>
      </c>
    </row>
    <row r="603" spans="1:6" x14ac:dyDescent="0.3">
      <c r="A603">
        <v>531642</v>
      </c>
      <c r="B603" s="2">
        <v>41699</v>
      </c>
      <c r="C603">
        <v>680</v>
      </c>
      <c r="D603">
        <v>872</v>
      </c>
      <c r="E603">
        <v>-192</v>
      </c>
      <c r="F603">
        <v>-22.02</v>
      </c>
    </row>
    <row r="604" spans="1:6" x14ac:dyDescent="0.3">
      <c r="A604">
        <v>531642</v>
      </c>
      <c r="B604" s="2">
        <v>42064</v>
      </c>
      <c r="C604">
        <v>428</v>
      </c>
      <c r="D604">
        <v>680</v>
      </c>
      <c r="E604">
        <v>-252</v>
      </c>
      <c r="F604">
        <v>-37.06</v>
      </c>
    </row>
    <row r="605" spans="1:6" x14ac:dyDescent="0.3">
      <c r="A605">
        <v>531642</v>
      </c>
      <c r="B605" s="2">
        <v>42430</v>
      </c>
      <c r="C605">
        <v>331</v>
      </c>
      <c r="D605">
        <v>428</v>
      </c>
      <c r="E605">
        <v>-97</v>
      </c>
      <c r="F605">
        <v>-22.66</v>
      </c>
    </row>
    <row r="606" spans="1:6" x14ac:dyDescent="0.3">
      <c r="A606">
        <v>531642</v>
      </c>
      <c r="B606" s="2">
        <v>42795</v>
      </c>
      <c r="C606">
        <v>239</v>
      </c>
      <c r="D606">
        <v>331</v>
      </c>
      <c r="E606">
        <v>-92</v>
      </c>
      <c r="F606">
        <v>-27.79</v>
      </c>
    </row>
    <row r="607" spans="1:6" x14ac:dyDescent="0.3">
      <c r="A607">
        <v>531642</v>
      </c>
      <c r="B607" s="2">
        <v>43160</v>
      </c>
      <c r="C607">
        <v>312</v>
      </c>
      <c r="D607">
        <v>239</v>
      </c>
      <c r="E607">
        <v>73</v>
      </c>
      <c r="F607">
        <v>30.54</v>
      </c>
    </row>
    <row r="608" spans="1:6" x14ac:dyDescent="0.3">
      <c r="A608">
        <v>531642</v>
      </c>
      <c r="B608" s="2">
        <v>43525</v>
      </c>
      <c r="C608">
        <v>352</v>
      </c>
      <c r="D608">
        <v>312</v>
      </c>
      <c r="E608">
        <v>40</v>
      </c>
      <c r="F608">
        <v>12.82</v>
      </c>
    </row>
    <row r="609" spans="1:6" x14ac:dyDescent="0.3">
      <c r="A609">
        <v>531642</v>
      </c>
      <c r="B609" s="2">
        <v>43891</v>
      </c>
      <c r="C609">
        <v>338</v>
      </c>
      <c r="D609">
        <v>352</v>
      </c>
      <c r="E609">
        <v>-14</v>
      </c>
      <c r="F609">
        <v>-3.98</v>
      </c>
    </row>
    <row r="610" spans="1:6" x14ac:dyDescent="0.3">
      <c r="A610">
        <v>531642</v>
      </c>
      <c r="B610" s="2">
        <v>44256</v>
      </c>
      <c r="C610">
        <v>511</v>
      </c>
      <c r="D610">
        <v>338</v>
      </c>
      <c r="E610">
        <v>173</v>
      </c>
      <c r="F610">
        <v>51.18</v>
      </c>
    </row>
    <row r="611" spans="1:6" x14ac:dyDescent="0.3">
      <c r="A611">
        <v>531642</v>
      </c>
      <c r="B611" s="2">
        <v>44621</v>
      </c>
      <c r="C611">
        <v>479</v>
      </c>
      <c r="D611">
        <v>511</v>
      </c>
      <c r="E611">
        <v>-32</v>
      </c>
      <c r="F611">
        <v>-6.26</v>
      </c>
    </row>
    <row r="612" spans="1:6" x14ac:dyDescent="0.3">
      <c r="A612">
        <v>531642</v>
      </c>
      <c r="B612" s="2">
        <v>44986</v>
      </c>
      <c r="C612">
        <v>608</v>
      </c>
      <c r="D612">
        <v>479</v>
      </c>
      <c r="E612">
        <v>129</v>
      </c>
      <c r="F612">
        <v>26.93</v>
      </c>
    </row>
    <row r="613" spans="1:6" x14ac:dyDescent="0.3">
      <c r="A613">
        <v>532134</v>
      </c>
      <c r="B613" s="2">
        <v>41334</v>
      </c>
      <c r="C613">
        <v>509192</v>
      </c>
      <c r="D613">
        <v>416214</v>
      </c>
      <c r="E613">
        <v>92978</v>
      </c>
      <c r="F613">
        <v>22.34</v>
      </c>
    </row>
    <row r="614" spans="1:6" x14ac:dyDescent="0.3">
      <c r="A614">
        <v>532134</v>
      </c>
      <c r="B614" s="2">
        <v>41699</v>
      </c>
      <c r="C614">
        <v>616973</v>
      </c>
      <c r="D614">
        <v>509192</v>
      </c>
      <c r="E614">
        <v>107781</v>
      </c>
      <c r="F614">
        <v>21.17</v>
      </c>
    </row>
    <row r="615" spans="1:6" x14ac:dyDescent="0.3">
      <c r="A615">
        <v>532134</v>
      </c>
      <c r="B615" s="2">
        <v>42064</v>
      </c>
      <c r="C615">
        <v>665483</v>
      </c>
      <c r="D615">
        <v>616973</v>
      </c>
      <c r="E615">
        <v>48510</v>
      </c>
      <c r="F615">
        <v>7.86</v>
      </c>
    </row>
    <row r="616" spans="1:6" x14ac:dyDescent="0.3">
      <c r="A616">
        <v>532134</v>
      </c>
      <c r="B616" s="2">
        <v>42430</v>
      </c>
      <c r="C616">
        <v>620536</v>
      </c>
      <c r="D616">
        <v>665483</v>
      </c>
      <c r="E616">
        <v>-44947</v>
      </c>
      <c r="F616">
        <v>-6.75</v>
      </c>
    </row>
    <row r="617" spans="1:6" x14ac:dyDescent="0.3">
      <c r="A617">
        <v>532134</v>
      </c>
      <c r="B617" s="2">
        <v>42795</v>
      </c>
      <c r="C617">
        <v>648499</v>
      </c>
      <c r="D617">
        <v>620536</v>
      </c>
      <c r="E617">
        <v>27963</v>
      </c>
      <c r="F617">
        <v>4.51</v>
      </c>
    </row>
    <row r="618" spans="1:6" x14ac:dyDescent="0.3">
      <c r="A618">
        <v>532134</v>
      </c>
      <c r="B618" s="2">
        <v>43160</v>
      </c>
      <c r="C618">
        <v>672311</v>
      </c>
      <c r="D618">
        <v>648499</v>
      </c>
      <c r="E618">
        <v>23812</v>
      </c>
      <c r="F618">
        <v>3.67</v>
      </c>
    </row>
    <row r="619" spans="1:6" x14ac:dyDescent="0.3">
      <c r="A619">
        <v>532134</v>
      </c>
      <c r="B619" s="2">
        <v>43525</v>
      </c>
      <c r="C619">
        <v>734456</v>
      </c>
      <c r="D619">
        <v>672311</v>
      </c>
      <c r="E619">
        <v>62145</v>
      </c>
      <c r="F619">
        <v>9.24</v>
      </c>
    </row>
    <row r="620" spans="1:6" x14ac:dyDescent="0.3">
      <c r="A620">
        <v>532134</v>
      </c>
      <c r="B620" s="2">
        <v>43891</v>
      </c>
      <c r="C620">
        <v>1068981</v>
      </c>
      <c r="D620">
        <v>734456</v>
      </c>
      <c r="E620">
        <v>334525</v>
      </c>
      <c r="F620">
        <v>45.55</v>
      </c>
    </row>
    <row r="621" spans="1:6" x14ac:dyDescent="0.3">
      <c r="A621">
        <v>532134</v>
      </c>
      <c r="B621" s="2">
        <v>44256</v>
      </c>
      <c r="C621">
        <v>1067173</v>
      </c>
      <c r="D621">
        <v>1068981</v>
      </c>
      <c r="E621">
        <v>-1808</v>
      </c>
      <c r="F621">
        <v>-0.17</v>
      </c>
    </row>
    <row r="622" spans="1:6" x14ac:dyDescent="0.3">
      <c r="A622">
        <v>532134</v>
      </c>
      <c r="B622" s="2">
        <v>44621</v>
      </c>
      <c r="C622">
        <v>1185331</v>
      </c>
      <c r="D622">
        <v>1067173</v>
      </c>
      <c r="E622">
        <v>118158</v>
      </c>
      <c r="F622">
        <v>11.07</v>
      </c>
    </row>
    <row r="623" spans="1:6" x14ac:dyDescent="0.3">
      <c r="A623">
        <v>532155</v>
      </c>
      <c r="B623" s="2">
        <v>41334</v>
      </c>
      <c r="C623">
        <v>16472</v>
      </c>
      <c r="D623">
        <v>11506</v>
      </c>
      <c r="E623">
        <v>4966</v>
      </c>
      <c r="F623">
        <v>43.16</v>
      </c>
    </row>
    <row r="624" spans="1:6" x14ac:dyDescent="0.3">
      <c r="A624">
        <v>532155</v>
      </c>
      <c r="B624" s="2">
        <v>41699</v>
      </c>
      <c r="C624">
        <v>18537</v>
      </c>
      <c r="D624">
        <v>16472</v>
      </c>
      <c r="E624">
        <v>2065</v>
      </c>
      <c r="F624">
        <v>12.54</v>
      </c>
    </row>
    <row r="625" spans="1:6" x14ac:dyDescent="0.3">
      <c r="A625">
        <v>532155</v>
      </c>
      <c r="B625" s="2">
        <v>42064</v>
      </c>
      <c r="C625">
        <v>18291</v>
      </c>
      <c r="D625">
        <v>18537</v>
      </c>
      <c r="E625">
        <v>-246</v>
      </c>
      <c r="F625">
        <v>-1.33</v>
      </c>
    </row>
    <row r="626" spans="1:6" x14ac:dyDescent="0.3">
      <c r="A626">
        <v>532155</v>
      </c>
      <c r="B626" s="2">
        <v>42430</v>
      </c>
      <c r="C626">
        <v>9052</v>
      </c>
      <c r="D626">
        <v>18291</v>
      </c>
      <c r="E626">
        <v>-9239</v>
      </c>
      <c r="F626">
        <v>-50.51</v>
      </c>
    </row>
    <row r="627" spans="1:6" x14ac:dyDescent="0.3">
      <c r="A627">
        <v>532155</v>
      </c>
      <c r="B627" s="2">
        <v>42795</v>
      </c>
      <c r="C627">
        <v>6553</v>
      </c>
      <c r="D627">
        <v>9052</v>
      </c>
      <c r="E627">
        <v>-2499</v>
      </c>
      <c r="F627">
        <v>-27.61</v>
      </c>
    </row>
    <row r="628" spans="1:6" x14ac:dyDescent="0.3">
      <c r="A628">
        <v>532155</v>
      </c>
      <c r="B628" s="2">
        <v>43160</v>
      </c>
      <c r="C628">
        <v>3876</v>
      </c>
      <c r="D628">
        <v>6553</v>
      </c>
      <c r="E628">
        <v>-2677</v>
      </c>
      <c r="F628">
        <v>-40.85</v>
      </c>
    </row>
    <row r="629" spans="1:6" x14ac:dyDescent="0.3">
      <c r="A629">
        <v>532155</v>
      </c>
      <c r="B629" s="2">
        <v>43525</v>
      </c>
      <c r="C629">
        <v>2224</v>
      </c>
      <c r="D629">
        <v>3876</v>
      </c>
      <c r="E629">
        <v>-1652</v>
      </c>
      <c r="F629">
        <v>-42.62</v>
      </c>
    </row>
    <row r="630" spans="1:6" x14ac:dyDescent="0.3">
      <c r="A630">
        <v>532155</v>
      </c>
      <c r="B630" s="2">
        <v>43891</v>
      </c>
      <c r="C630">
        <v>6912</v>
      </c>
      <c r="D630">
        <v>2224</v>
      </c>
      <c r="E630">
        <v>4688</v>
      </c>
      <c r="F630">
        <v>210.79</v>
      </c>
    </row>
    <row r="631" spans="1:6" x14ac:dyDescent="0.3">
      <c r="A631">
        <v>532155</v>
      </c>
      <c r="B631" s="2">
        <v>44256</v>
      </c>
      <c r="C631">
        <v>7873</v>
      </c>
      <c r="D631">
        <v>6912</v>
      </c>
      <c r="E631">
        <v>961</v>
      </c>
      <c r="F631">
        <v>13.9</v>
      </c>
    </row>
    <row r="632" spans="1:6" x14ac:dyDescent="0.3">
      <c r="A632">
        <v>532155</v>
      </c>
      <c r="B632" s="2">
        <v>44621</v>
      </c>
      <c r="C632">
        <v>9216</v>
      </c>
      <c r="D632">
        <v>7873</v>
      </c>
      <c r="E632">
        <v>1343</v>
      </c>
      <c r="F632">
        <v>17.059999999999999</v>
      </c>
    </row>
    <row r="633" spans="1:6" x14ac:dyDescent="0.3">
      <c r="A633">
        <v>532155</v>
      </c>
      <c r="B633" s="2">
        <v>44986</v>
      </c>
      <c r="C633">
        <v>17816</v>
      </c>
      <c r="D633">
        <v>9216</v>
      </c>
      <c r="E633">
        <v>8600</v>
      </c>
      <c r="F633">
        <v>93.32</v>
      </c>
    </row>
    <row r="634" spans="1:6" x14ac:dyDescent="0.3">
      <c r="A634">
        <v>532174</v>
      </c>
      <c r="B634" s="2">
        <v>41334</v>
      </c>
      <c r="C634">
        <v>487659</v>
      </c>
      <c r="D634">
        <v>443247</v>
      </c>
      <c r="E634">
        <v>44412</v>
      </c>
      <c r="F634">
        <v>10.02</v>
      </c>
    </row>
    <row r="635" spans="1:6" x14ac:dyDescent="0.3">
      <c r="A635">
        <v>532174</v>
      </c>
      <c r="B635" s="2">
        <v>41699</v>
      </c>
      <c r="C635">
        <v>543055</v>
      </c>
      <c r="D635">
        <v>487659</v>
      </c>
      <c r="E635">
        <v>55396</v>
      </c>
      <c r="F635">
        <v>11.36</v>
      </c>
    </row>
    <row r="636" spans="1:6" x14ac:dyDescent="0.3">
      <c r="A636">
        <v>532174</v>
      </c>
      <c r="B636" s="2">
        <v>42064</v>
      </c>
      <c r="C636">
        <v>597207</v>
      </c>
      <c r="D636">
        <v>543055</v>
      </c>
      <c r="E636">
        <v>54152</v>
      </c>
      <c r="F636">
        <v>9.9700000000000006</v>
      </c>
    </row>
    <row r="637" spans="1:6" x14ac:dyDescent="0.3">
      <c r="A637">
        <v>532174</v>
      </c>
      <c r="B637" s="2">
        <v>42430</v>
      </c>
      <c r="C637">
        <v>671455</v>
      </c>
      <c r="D637">
        <v>597207</v>
      </c>
      <c r="E637">
        <v>74248</v>
      </c>
      <c r="F637">
        <v>12.43</v>
      </c>
    </row>
    <row r="638" spans="1:6" x14ac:dyDescent="0.3">
      <c r="A638">
        <v>532174</v>
      </c>
      <c r="B638" s="2">
        <v>42795</v>
      </c>
      <c r="C638">
        <v>700874</v>
      </c>
      <c r="D638">
        <v>671455</v>
      </c>
      <c r="E638">
        <v>29419</v>
      </c>
      <c r="F638">
        <v>4.38</v>
      </c>
    </row>
    <row r="639" spans="1:6" x14ac:dyDescent="0.3">
      <c r="A639">
        <v>532174</v>
      </c>
      <c r="B639" s="2">
        <v>43160</v>
      </c>
      <c r="C639">
        <v>815198</v>
      </c>
      <c r="D639">
        <v>700874</v>
      </c>
      <c r="E639">
        <v>114324</v>
      </c>
      <c r="F639">
        <v>16.309999999999999</v>
      </c>
    </row>
    <row r="640" spans="1:6" x14ac:dyDescent="0.3">
      <c r="A640">
        <v>532174</v>
      </c>
      <c r="B640" s="2">
        <v>43525</v>
      </c>
      <c r="C640">
        <v>891641</v>
      </c>
      <c r="D640">
        <v>815198</v>
      </c>
      <c r="E640">
        <v>76443</v>
      </c>
      <c r="F640">
        <v>9.3800000000000008</v>
      </c>
    </row>
    <row r="641" spans="1:6" x14ac:dyDescent="0.3">
      <c r="A641">
        <v>532174</v>
      </c>
      <c r="B641" s="2">
        <v>43891</v>
      </c>
      <c r="C641">
        <v>1014636</v>
      </c>
      <c r="D641">
        <v>891641</v>
      </c>
      <c r="E641">
        <v>122995</v>
      </c>
      <c r="F641">
        <v>13.79</v>
      </c>
    </row>
    <row r="642" spans="1:6" x14ac:dyDescent="0.3">
      <c r="A642">
        <v>532174</v>
      </c>
      <c r="B642" s="2">
        <v>44256</v>
      </c>
      <c r="C642">
        <v>1103840</v>
      </c>
      <c r="D642">
        <v>1014636</v>
      </c>
      <c r="E642">
        <v>89204</v>
      </c>
      <c r="F642">
        <v>8.7899999999999991</v>
      </c>
    </row>
    <row r="643" spans="1:6" x14ac:dyDescent="0.3">
      <c r="A643">
        <v>532174</v>
      </c>
      <c r="B643" s="2">
        <v>44621</v>
      </c>
      <c r="C643">
        <v>1252968</v>
      </c>
      <c r="D643">
        <v>1103840</v>
      </c>
      <c r="E643">
        <v>149128</v>
      </c>
      <c r="F643">
        <v>13.51</v>
      </c>
    </row>
    <row r="644" spans="1:6" x14ac:dyDescent="0.3">
      <c r="A644">
        <v>532187</v>
      </c>
      <c r="B644" s="2">
        <v>41334</v>
      </c>
      <c r="C644">
        <v>63576</v>
      </c>
      <c r="D644">
        <v>51044</v>
      </c>
      <c r="E644">
        <v>12532</v>
      </c>
      <c r="F644">
        <v>24.55</v>
      </c>
    </row>
    <row r="645" spans="1:6" x14ac:dyDescent="0.3">
      <c r="A645">
        <v>532187</v>
      </c>
      <c r="B645" s="2">
        <v>41699</v>
      </c>
      <c r="C645">
        <v>75264</v>
      </c>
      <c r="D645">
        <v>63576</v>
      </c>
      <c r="E645">
        <v>11688</v>
      </c>
      <c r="F645">
        <v>18.38</v>
      </c>
    </row>
    <row r="646" spans="1:6" x14ac:dyDescent="0.3">
      <c r="A646">
        <v>532187</v>
      </c>
      <c r="B646" s="2">
        <v>42064</v>
      </c>
      <c r="C646">
        <v>94752</v>
      </c>
      <c r="D646">
        <v>75264</v>
      </c>
      <c r="E646">
        <v>19488</v>
      </c>
      <c r="F646">
        <v>25.89</v>
      </c>
    </row>
    <row r="647" spans="1:6" x14ac:dyDescent="0.3">
      <c r="A647">
        <v>532187</v>
      </c>
      <c r="B647" s="2">
        <v>42430</v>
      </c>
      <c r="C647">
        <v>117996</v>
      </c>
      <c r="D647">
        <v>94752</v>
      </c>
      <c r="E647">
        <v>23244</v>
      </c>
      <c r="F647">
        <v>24.53</v>
      </c>
    </row>
    <row r="648" spans="1:6" x14ac:dyDescent="0.3">
      <c r="A648">
        <v>532187</v>
      </c>
      <c r="B648" s="2">
        <v>42795</v>
      </c>
      <c r="C648">
        <v>149026</v>
      </c>
      <c r="D648">
        <v>117996</v>
      </c>
      <c r="E648">
        <v>31030</v>
      </c>
      <c r="F648">
        <v>26.3</v>
      </c>
    </row>
    <row r="649" spans="1:6" x14ac:dyDescent="0.3">
      <c r="A649">
        <v>532187</v>
      </c>
      <c r="B649" s="2">
        <v>43160</v>
      </c>
      <c r="C649">
        <v>189928</v>
      </c>
      <c r="D649">
        <v>149026</v>
      </c>
      <c r="E649">
        <v>40902</v>
      </c>
      <c r="F649">
        <v>27.45</v>
      </c>
    </row>
    <row r="650" spans="1:6" x14ac:dyDescent="0.3">
      <c r="A650">
        <v>532187</v>
      </c>
      <c r="B650" s="2">
        <v>43525</v>
      </c>
      <c r="C650">
        <v>242189</v>
      </c>
      <c r="D650">
        <v>189928</v>
      </c>
      <c r="E650">
        <v>52261</v>
      </c>
      <c r="F650">
        <v>27.52</v>
      </c>
    </row>
    <row r="651" spans="1:6" x14ac:dyDescent="0.3">
      <c r="A651">
        <v>532187</v>
      </c>
      <c r="B651" s="2">
        <v>43891</v>
      </c>
      <c r="C651">
        <v>262793</v>
      </c>
      <c r="D651">
        <v>242189</v>
      </c>
      <c r="E651">
        <v>20604</v>
      </c>
      <c r="F651">
        <v>8.51</v>
      </c>
    </row>
    <row r="652" spans="1:6" x14ac:dyDescent="0.3">
      <c r="A652">
        <v>532187</v>
      </c>
      <c r="B652" s="2">
        <v>44256</v>
      </c>
      <c r="C652">
        <v>307528</v>
      </c>
      <c r="D652">
        <v>262793</v>
      </c>
      <c r="E652">
        <v>44735</v>
      </c>
      <c r="F652">
        <v>17.02</v>
      </c>
    </row>
    <row r="653" spans="1:6" x14ac:dyDescent="0.3">
      <c r="A653">
        <v>532187</v>
      </c>
      <c r="B653" s="2">
        <v>44621</v>
      </c>
      <c r="C653">
        <v>341005</v>
      </c>
      <c r="D653">
        <v>307528</v>
      </c>
      <c r="E653">
        <v>33477</v>
      </c>
      <c r="F653">
        <v>10.89</v>
      </c>
    </row>
    <row r="654" spans="1:6" x14ac:dyDescent="0.3">
      <c r="A654">
        <v>532215</v>
      </c>
      <c r="B654" s="2">
        <v>41334</v>
      </c>
      <c r="C654">
        <v>296254</v>
      </c>
      <c r="D654">
        <v>254059</v>
      </c>
      <c r="E654">
        <v>42195</v>
      </c>
      <c r="F654">
        <v>16.61</v>
      </c>
    </row>
    <row r="655" spans="1:6" x14ac:dyDescent="0.3">
      <c r="A655">
        <v>532215</v>
      </c>
      <c r="B655" s="2">
        <v>41699</v>
      </c>
      <c r="C655">
        <v>333280</v>
      </c>
      <c r="D655">
        <v>296254</v>
      </c>
      <c r="E655">
        <v>37026</v>
      </c>
      <c r="F655">
        <v>12.5</v>
      </c>
    </row>
    <row r="656" spans="1:6" x14ac:dyDescent="0.3">
      <c r="A656">
        <v>532215</v>
      </c>
      <c r="B656" s="2">
        <v>42064</v>
      </c>
      <c r="C656">
        <v>406638</v>
      </c>
      <c r="D656">
        <v>333280</v>
      </c>
      <c r="E656">
        <v>73358</v>
      </c>
      <c r="F656">
        <v>22.01</v>
      </c>
    </row>
    <row r="657" spans="1:6" x14ac:dyDescent="0.3">
      <c r="A657">
        <v>532215</v>
      </c>
      <c r="B657" s="2">
        <v>42430</v>
      </c>
      <c r="C657">
        <v>472150</v>
      </c>
      <c r="D657">
        <v>406638</v>
      </c>
      <c r="E657">
        <v>65512</v>
      </c>
      <c r="F657">
        <v>16.11</v>
      </c>
    </row>
    <row r="658" spans="1:6" x14ac:dyDescent="0.3">
      <c r="A658">
        <v>532215</v>
      </c>
      <c r="B658" s="2">
        <v>42795</v>
      </c>
      <c r="C658">
        <v>527437</v>
      </c>
      <c r="D658">
        <v>472150</v>
      </c>
      <c r="E658">
        <v>55287</v>
      </c>
      <c r="F658">
        <v>11.71</v>
      </c>
    </row>
    <row r="659" spans="1:6" x14ac:dyDescent="0.3">
      <c r="A659">
        <v>532215</v>
      </c>
      <c r="B659" s="2">
        <v>43160</v>
      </c>
      <c r="C659">
        <v>611425</v>
      </c>
      <c r="D659">
        <v>527437</v>
      </c>
      <c r="E659">
        <v>83988</v>
      </c>
      <c r="F659">
        <v>15.92</v>
      </c>
    </row>
    <row r="660" spans="1:6" x14ac:dyDescent="0.3">
      <c r="A660">
        <v>532215</v>
      </c>
      <c r="B660" s="2">
        <v>43525</v>
      </c>
      <c r="C660">
        <v>711996</v>
      </c>
      <c r="D660">
        <v>611425</v>
      </c>
      <c r="E660">
        <v>100571</v>
      </c>
      <c r="F660">
        <v>16.45</v>
      </c>
    </row>
    <row r="661" spans="1:6" x14ac:dyDescent="0.3">
      <c r="A661">
        <v>532215</v>
      </c>
      <c r="B661" s="2">
        <v>43891</v>
      </c>
      <c r="C661">
        <v>797337</v>
      </c>
      <c r="D661">
        <v>711996</v>
      </c>
      <c r="E661">
        <v>85341</v>
      </c>
      <c r="F661">
        <v>11.99</v>
      </c>
    </row>
    <row r="662" spans="1:6" x14ac:dyDescent="0.3">
      <c r="A662">
        <v>532215</v>
      </c>
      <c r="B662" s="2">
        <v>44256</v>
      </c>
      <c r="C662">
        <v>850551</v>
      </c>
      <c r="D662">
        <v>797337</v>
      </c>
      <c r="E662">
        <v>53214</v>
      </c>
      <c r="F662">
        <v>6.67</v>
      </c>
    </row>
    <row r="663" spans="1:6" x14ac:dyDescent="0.3">
      <c r="A663">
        <v>532215</v>
      </c>
      <c r="B663" s="2">
        <v>44621</v>
      </c>
      <c r="C663">
        <v>1020692</v>
      </c>
      <c r="D663">
        <v>850551</v>
      </c>
      <c r="E663">
        <v>170141</v>
      </c>
      <c r="F663">
        <v>20</v>
      </c>
    </row>
    <row r="664" spans="1:6" x14ac:dyDescent="0.3">
      <c r="A664">
        <v>532281</v>
      </c>
      <c r="B664" s="2">
        <v>41426</v>
      </c>
      <c r="C664">
        <v>1044</v>
      </c>
      <c r="D664">
        <v>2179</v>
      </c>
      <c r="E664">
        <v>-1135</v>
      </c>
      <c r="F664">
        <v>-52.09</v>
      </c>
    </row>
    <row r="665" spans="1:6" x14ac:dyDescent="0.3">
      <c r="A665">
        <v>532281</v>
      </c>
      <c r="B665" s="2">
        <v>41791</v>
      </c>
      <c r="C665">
        <v>1018</v>
      </c>
      <c r="D665">
        <v>1044</v>
      </c>
      <c r="E665">
        <v>-26</v>
      </c>
      <c r="F665">
        <v>-2.4900000000000002</v>
      </c>
    </row>
    <row r="666" spans="1:6" x14ac:dyDescent="0.3">
      <c r="A666">
        <v>532281</v>
      </c>
      <c r="B666" s="2">
        <v>42156</v>
      </c>
      <c r="C666">
        <v>648</v>
      </c>
      <c r="D666">
        <v>1018</v>
      </c>
      <c r="E666">
        <v>-370</v>
      </c>
      <c r="F666">
        <v>-36.35</v>
      </c>
    </row>
    <row r="667" spans="1:6" x14ac:dyDescent="0.3">
      <c r="A667">
        <v>532281</v>
      </c>
      <c r="B667" s="2">
        <v>42430</v>
      </c>
      <c r="C667">
        <v>1090</v>
      </c>
      <c r="D667">
        <v>648</v>
      </c>
      <c r="E667">
        <v>442</v>
      </c>
      <c r="F667">
        <v>68.209999999999994</v>
      </c>
    </row>
    <row r="668" spans="1:6" x14ac:dyDescent="0.3">
      <c r="A668">
        <v>532281</v>
      </c>
      <c r="B668" s="2">
        <v>42795</v>
      </c>
      <c r="C668">
        <v>582</v>
      </c>
      <c r="D668">
        <v>1090</v>
      </c>
      <c r="E668">
        <v>-508</v>
      </c>
      <c r="F668">
        <v>-46.61</v>
      </c>
    </row>
    <row r="669" spans="1:6" x14ac:dyDescent="0.3">
      <c r="A669">
        <v>532281</v>
      </c>
      <c r="B669" s="2">
        <v>43160</v>
      </c>
      <c r="C669">
        <v>557</v>
      </c>
      <c r="D669">
        <v>582</v>
      </c>
      <c r="E669">
        <v>-25</v>
      </c>
      <c r="F669">
        <v>-4.3</v>
      </c>
    </row>
    <row r="670" spans="1:6" x14ac:dyDescent="0.3">
      <c r="A670">
        <v>532281</v>
      </c>
      <c r="B670" s="2">
        <v>43525</v>
      </c>
      <c r="C670">
        <v>4195</v>
      </c>
      <c r="D670">
        <v>557</v>
      </c>
      <c r="E670">
        <v>3638</v>
      </c>
      <c r="F670">
        <v>653.14</v>
      </c>
    </row>
    <row r="671" spans="1:6" x14ac:dyDescent="0.3">
      <c r="A671">
        <v>532281</v>
      </c>
      <c r="B671" s="2">
        <v>43891</v>
      </c>
      <c r="C671">
        <v>7986</v>
      </c>
      <c r="D671">
        <v>4195</v>
      </c>
      <c r="E671">
        <v>3791</v>
      </c>
      <c r="F671">
        <v>90.37</v>
      </c>
    </row>
    <row r="672" spans="1:6" x14ac:dyDescent="0.3">
      <c r="A672">
        <v>532281</v>
      </c>
      <c r="B672" s="2">
        <v>44256</v>
      </c>
      <c r="C672">
        <v>6864</v>
      </c>
      <c r="D672">
        <v>7986</v>
      </c>
      <c r="E672">
        <v>-1122</v>
      </c>
      <c r="F672">
        <v>-14.05</v>
      </c>
    </row>
    <row r="673" spans="1:6" x14ac:dyDescent="0.3">
      <c r="A673">
        <v>532281</v>
      </c>
      <c r="B673" s="2">
        <v>44621</v>
      </c>
      <c r="C673">
        <v>6343</v>
      </c>
      <c r="D673">
        <v>6864</v>
      </c>
      <c r="E673">
        <v>-521</v>
      </c>
      <c r="F673">
        <v>-7.59</v>
      </c>
    </row>
    <row r="674" spans="1:6" x14ac:dyDescent="0.3">
      <c r="A674">
        <v>532281</v>
      </c>
      <c r="B674" s="2">
        <v>44986</v>
      </c>
      <c r="C674">
        <v>4786</v>
      </c>
      <c r="D674">
        <v>6343</v>
      </c>
      <c r="E674">
        <v>-1557</v>
      </c>
      <c r="F674">
        <v>-24.55</v>
      </c>
    </row>
    <row r="675" spans="1:6" x14ac:dyDescent="0.3">
      <c r="A675">
        <v>532286</v>
      </c>
      <c r="B675" s="2">
        <v>41334</v>
      </c>
      <c r="C675">
        <v>24618</v>
      </c>
      <c r="D675">
        <v>17091</v>
      </c>
      <c r="E675">
        <v>7527</v>
      </c>
      <c r="F675">
        <v>44.04</v>
      </c>
    </row>
    <row r="676" spans="1:6" x14ac:dyDescent="0.3">
      <c r="A676">
        <v>532286</v>
      </c>
      <c r="B676" s="2">
        <v>41699</v>
      </c>
      <c r="C676">
        <v>36368</v>
      </c>
      <c r="D676">
        <v>24618</v>
      </c>
      <c r="E676">
        <v>11750</v>
      </c>
      <c r="F676">
        <v>47.73</v>
      </c>
    </row>
    <row r="677" spans="1:6" x14ac:dyDescent="0.3">
      <c r="A677">
        <v>532286</v>
      </c>
      <c r="B677" s="2">
        <v>42064</v>
      </c>
      <c r="C677">
        <v>45501</v>
      </c>
      <c r="D677">
        <v>36368</v>
      </c>
      <c r="E677">
        <v>9133</v>
      </c>
      <c r="F677">
        <v>25.11</v>
      </c>
    </row>
    <row r="678" spans="1:6" x14ac:dyDescent="0.3">
      <c r="A678">
        <v>532286</v>
      </c>
      <c r="B678" s="2">
        <v>42430</v>
      </c>
      <c r="C678">
        <v>46797</v>
      </c>
      <c r="D678">
        <v>45501</v>
      </c>
      <c r="E678">
        <v>1296</v>
      </c>
      <c r="F678">
        <v>2.85</v>
      </c>
    </row>
    <row r="679" spans="1:6" x14ac:dyDescent="0.3">
      <c r="A679">
        <v>532286</v>
      </c>
      <c r="B679" s="2">
        <v>42795</v>
      </c>
      <c r="C679">
        <v>45850</v>
      </c>
      <c r="D679">
        <v>46797</v>
      </c>
      <c r="E679">
        <v>-947</v>
      </c>
      <c r="F679">
        <v>-2.02</v>
      </c>
    </row>
    <row r="680" spans="1:6" x14ac:dyDescent="0.3">
      <c r="A680">
        <v>532286</v>
      </c>
      <c r="B680" s="2">
        <v>43160</v>
      </c>
      <c r="C680">
        <v>42962</v>
      </c>
      <c r="D680">
        <v>45850</v>
      </c>
      <c r="E680">
        <v>-2888</v>
      </c>
      <c r="F680">
        <v>-6.3</v>
      </c>
    </row>
    <row r="681" spans="1:6" x14ac:dyDescent="0.3">
      <c r="A681">
        <v>532286</v>
      </c>
      <c r="B681" s="2">
        <v>43525</v>
      </c>
      <c r="C681">
        <v>39559</v>
      </c>
      <c r="D681">
        <v>42962</v>
      </c>
      <c r="E681">
        <v>-3403</v>
      </c>
      <c r="F681">
        <v>-7.92</v>
      </c>
    </row>
    <row r="682" spans="1:6" x14ac:dyDescent="0.3">
      <c r="A682">
        <v>532286</v>
      </c>
      <c r="B682" s="2">
        <v>43891</v>
      </c>
      <c r="C682">
        <v>36824</v>
      </c>
      <c r="D682">
        <v>39559</v>
      </c>
      <c r="E682">
        <v>-2735</v>
      </c>
      <c r="F682">
        <v>-6.91</v>
      </c>
    </row>
    <row r="683" spans="1:6" x14ac:dyDescent="0.3">
      <c r="A683">
        <v>532286</v>
      </c>
      <c r="B683" s="2">
        <v>44256</v>
      </c>
      <c r="C683">
        <v>29910</v>
      </c>
      <c r="D683">
        <v>36824</v>
      </c>
      <c r="E683">
        <v>-6914</v>
      </c>
      <c r="F683">
        <v>-18.78</v>
      </c>
    </row>
    <row r="684" spans="1:6" x14ac:dyDescent="0.3">
      <c r="A684">
        <v>532286</v>
      </c>
      <c r="B684" s="2">
        <v>44621</v>
      </c>
      <c r="C684">
        <v>13502</v>
      </c>
      <c r="D684">
        <v>29910</v>
      </c>
      <c r="E684">
        <v>-16408</v>
      </c>
      <c r="F684">
        <v>-54.86</v>
      </c>
    </row>
    <row r="685" spans="1:6" x14ac:dyDescent="0.3">
      <c r="A685">
        <v>532286</v>
      </c>
      <c r="B685" s="2">
        <v>44986</v>
      </c>
      <c r="C685">
        <v>13046</v>
      </c>
      <c r="D685">
        <v>13502</v>
      </c>
      <c r="E685">
        <v>-456</v>
      </c>
      <c r="F685">
        <v>-3.38</v>
      </c>
    </row>
    <row r="686" spans="1:6" x14ac:dyDescent="0.3">
      <c r="A686">
        <v>532343</v>
      </c>
      <c r="B686" s="2">
        <v>41334</v>
      </c>
      <c r="C686">
        <v>1068</v>
      </c>
      <c r="D686">
        <v>1304</v>
      </c>
      <c r="E686">
        <v>-236</v>
      </c>
      <c r="F686">
        <v>-18.100000000000001</v>
      </c>
    </row>
    <row r="687" spans="1:6" x14ac:dyDescent="0.3">
      <c r="A687">
        <v>532343</v>
      </c>
      <c r="B687" s="2">
        <v>41699</v>
      </c>
      <c r="C687">
        <v>728</v>
      </c>
      <c r="D687">
        <v>1068</v>
      </c>
      <c r="E687">
        <v>-340</v>
      </c>
      <c r="F687">
        <v>-31.84</v>
      </c>
    </row>
    <row r="688" spans="1:6" x14ac:dyDescent="0.3">
      <c r="A688">
        <v>532343</v>
      </c>
      <c r="B688" s="2">
        <v>42064</v>
      </c>
      <c r="C688">
        <v>1119</v>
      </c>
      <c r="D688">
        <v>728</v>
      </c>
      <c r="E688">
        <v>391</v>
      </c>
      <c r="F688">
        <v>53.71</v>
      </c>
    </row>
    <row r="689" spans="1:6" x14ac:dyDescent="0.3">
      <c r="A689">
        <v>532343</v>
      </c>
      <c r="B689" s="2">
        <v>42430</v>
      </c>
      <c r="C689">
        <v>1091</v>
      </c>
      <c r="D689">
        <v>1119</v>
      </c>
      <c r="E689">
        <v>-28</v>
      </c>
      <c r="F689">
        <v>-2.5</v>
      </c>
    </row>
    <row r="690" spans="1:6" x14ac:dyDescent="0.3">
      <c r="A690">
        <v>532343</v>
      </c>
      <c r="B690" s="2">
        <v>42795</v>
      </c>
      <c r="C690">
        <v>1311</v>
      </c>
      <c r="D690">
        <v>1091</v>
      </c>
      <c r="E690">
        <v>220</v>
      </c>
      <c r="F690">
        <v>20.16</v>
      </c>
    </row>
    <row r="691" spans="1:6" x14ac:dyDescent="0.3">
      <c r="A691">
        <v>532343</v>
      </c>
      <c r="B691" s="2">
        <v>43160</v>
      </c>
      <c r="C691">
        <v>6928</v>
      </c>
      <c r="D691">
        <v>1311</v>
      </c>
      <c r="E691">
        <v>5617</v>
      </c>
      <c r="F691">
        <v>428.45</v>
      </c>
    </row>
    <row r="692" spans="1:6" x14ac:dyDescent="0.3">
      <c r="A692">
        <v>532343</v>
      </c>
      <c r="B692" s="2">
        <v>43525</v>
      </c>
      <c r="C692">
        <v>9298</v>
      </c>
      <c r="D692">
        <v>6928</v>
      </c>
      <c r="E692">
        <v>2370</v>
      </c>
      <c r="F692">
        <v>34.21</v>
      </c>
    </row>
    <row r="693" spans="1:6" x14ac:dyDescent="0.3">
      <c r="A693">
        <v>532343</v>
      </c>
      <c r="B693" s="2">
        <v>43891</v>
      </c>
      <c r="C693">
        <v>11591</v>
      </c>
      <c r="D693">
        <v>9298</v>
      </c>
      <c r="E693">
        <v>2293</v>
      </c>
      <c r="F693">
        <v>24.66</v>
      </c>
    </row>
    <row r="694" spans="1:6" x14ac:dyDescent="0.3">
      <c r="A694">
        <v>532343</v>
      </c>
      <c r="B694" s="2">
        <v>44256</v>
      </c>
      <c r="C694">
        <v>12179</v>
      </c>
      <c r="D694">
        <v>11591</v>
      </c>
      <c r="E694">
        <v>588</v>
      </c>
      <c r="F694">
        <v>5.07</v>
      </c>
    </row>
    <row r="695" spans="1:6" x14ac:dyDescent="0.3">
      <c r="A695">
        <v>532343</v>
      </c>
      <c r="B695" s="2">
        <v>44621</v>
      </c>
      <c r="C695">
        <v>15827</v>
      </c>
      <c r="D695">
        <v>12179</v>
      </c>
      <c r="E695">
        <v>3648</v>
      </c>
      <c r="F695">
        <v>29.95</v>
      </c>
    </row>
    <row r="696" spans="1:6" x14ac:dyDescent="0.3">
      <c r="A696">
        <v>532343</v>
      </c>
      <c r="B696" s="2">
        <v>44986</v>
      </c>
      <c r="C696">
        <v>13312</v>
      </c>
      <c r="D696">
        <v>15827</v>
      </c>
      <c r="E696">
        <v>-2515</v>
      </c>
      <c r="F696">
        <v>-15.89</v>
      </c>
    </row>
    <row r="697" spans="1:6" x14ac:dyDescent="0.3">
      <c r="A697">
        <v>532424</v>
      </c>
      <c r="B697" s="2">
        <v>41334</v>
      </c>
      <c r="C697">
        <v>2456</v>
      </c>
      <c r="D697">
        <v>1877</v>
      </c>
      <c r="E697">
        <v>579</v>
      </c>
      <c r="F697">
        <v>30.85</v>
      </c>
    </row>
    <row r="698" spans="1:6" x14ac:dyDescent="0.3">
      <c r="A698">
        <v>532424</v>
      </c>
      <c r="B698" s="2">
        <v>41699</v>
      </c>
      <c r="C698">
        <v>2373</v>
      </c>
      <c r="D698">
        <v>2456</v>
      </c>
      <c r="E698">
        <v>-83</v>
      </c>
      <c r="F698">
        <v>-3.38</v>
      </c>
    </row>
    <row r="699" spans="1:6" x14ac:dyDescent="0.3">
      <c r="A699">
        <v>532424</v>
      </c>
      <c r="B699" s="2">
        <v>42064</v>
      </c>
      <c r="C699">
        <v>2717</v>
      </c>
      <c r="D699">
        <v>2373</v>
      </c>
      <c r="E699">
        <v>344</v>
      </c>
      <c r="F699">
        <v>14.5</v>
      </c>
    </row>
    <row r="700" spans="1:6" x14ac:dyDescent="0.3">
      <c r="A700">
        <v>532424</v>
      </c>
      <c r="B700" s="2">
        <v>42430</v>
      </c>
      <c r="C700">
        <v>2891</v>
      </c>
      <c r="D700">
        <v>2717</v>
      </c>
      <c r="E700">
        <v>174</v>
      </c>
      <c r="F700">
        <v>6.4</v>
      </c>
    </row>
    <row r="701" spans="1:6" x14ac:dyDescent="0.3">
      <c r="A701">
        <v>532424</v>
      </c>
      <c r="B701" s="2">
        <v>42795</v>
      </c>
      <c r="C701">
        <v>4001</v>
      </c>
      <c r="D701">
        <v>2891</v>
      </c>
      <c r="E701">
        <v>1110</v>
      </c>
      <c r="F701">
        <v>38.4</v>
      </c>
    </row>
    <row r="702" spans="1:6" x14ac:dyDescent="0.3">
      <c r="A702">
        <v>532424</v>
      </c>
      <c r="B702" s="2">
        <v>43160</v>
      </c>
      <c r="C702">
        <v>3508</v>
      </c>
      <c r="D702">
        <v>4001</v>
      </c>
      <c r="E702">
        <v>-493</v>
      </c>
      <c r="F702">
        <v>-12.32</v>
      </c>
    </row>
    <row r="703" spans="1:6" x14ac:dyDescent="0.3">
      <c r="A703">
        <v>532424</v>
      </c>
      <c r="B703" s="2">
        <v>43525</v>
      </c>
      <c r="C703">
        <v>3382</v>
      </c>
      <c r="D703">
        <v>3508</v>
      </c>
      <c r="E703">
        <v>-126</v>
      </c>
      <c r="F703">
        <v>-3.59</v>
      </c>
    </row>
    <row r="704" spans="1:6" x14ac:dyDescent="0.3">
      <c r="A704">
        <v>532424</v>
      </c>
      <c r="B704" s="2">
        <v>43891</v>
      </c>
      <c r="C704">
        <v>3575</v>
      </c>
      <c r="D704">
        <v>3382</v>
      </c>
      <c r="E704">
        <v>193</v>
      </c>
      <c r="F704">
        <v>5.71</v>
      </c>
    </row>
    <row r="705" spans="1:6" x14ac:dyDescent="0.3">
      <c r="A705">
        <v>532424</v>
      </c>
      <c r="B705" s="2">
        <v>44256</v>
      </c>
      <c r="C705">
        <v>1864</v>
      </c>
      <c r="D705">
        <v>3575</v>
      </c>
      <c r="E705">
        <v>-1711</v>
      </c>
      <c r="F705">
        <v>-47.86</v>
      </c>
    </row>
    <row r="706" spans="1:6" x14ac:dyDescent="0.3">
      <c r="A706">
        <v>532424</v>
      </c>
      <c r="B706" s="2">
        <v>44621</v>
      </c>
      <c r="C706">
        <v>1704</v>
      </c>
      <c r="D706">
        <v>1864</v>
      </c>
      <c r="E706">
        <v>-160</v>
      </c>
      <c r="F706">
        <v>-8.58</v>
      </c>
    </row>
    <row r="707" spans="1:6" x14ac:dyDescent="0.3">
      <c r="A707">
        <v>532424</v>
      </c>
      <c r="B707" s="2">
        <v>44986</v>
      </c>
      <c r="C707">
        <v>1130</v>
      </c>
      <c r="D707">
        <v>1704</v>
      </c>
      <c r="E707">
        <v>-574</v>
      </c>
      <c r="F707">
        <v>-33.69</v>
      </c>
    </row>
    <row r="708" spans="1:6" x14ac:dyDescent="0.3">
      <c r="A708">
        <v>532432</v>
      </c>
      <c r="B708" s="2">
        <v>41334</v>
      </c>
      <c r="C708">
        <v>8242</v>
      </c>
      <c r="D708">
        <v>8164</v>
      </c>
      <c r="E708">
        <v>78</v>
      </c>
      <c r="F708">
        <v>0.96</v>
      </c>
    </row>
    <row r="709" spans="1:6" x14ac:dyDescent="0.3">
      <c r="A709">
        <v>532432</v>
      </c>
      <c r="B709" s="2">
        <v>41699</v>
      </c>
      <c r="C709">
        <v>8307</v>
      </c>
      <c r="D709">
        <v>8242</v>
      </c>
      <c r="E709">
        <v>65</v>
      </c>
      <c r="F709">
        <v>0.79</v>
      </c>
    </row>
    <row r="710" spans="1:6" x14ac:dyDescent="0.3">
      <c r="A710">
        <v>532432</v>
      </c>
      <c r="B710" s="2">
        <v>42064</v>
      </c>
      <c r="C710">
        <v>4987</v>
      </c>
      <c r="D710">
        <v>8307</v>
      </c>
      <c r="E710">
        <v>-3320</v>
      </c>
      <c r="F710">
        <v>-39.97</v>
      </c>
    </row>
    <row r="711" spans="1:6" x14ac:dyDescent="0.3">
      <c r="A711">
        <v>532432</v>
      </c>
      <c r="B711" s="2">
        <v>42430</v>
      </c>
      <c r="C711">
        <v>4242</v>
      </c>
      <c r="D711">
        <v>4987</v>
      </c>
      <c r="E711">
        <v>-745</v>
      </c>
      <c r="F711">
        <v>-14.94</v>
      </c>
    </row>
    <row r="712" spans="1:6" x14ac:dyDescent="0.3">
      <c r="A712">
        <v>532432</v>
      </c>
      <c r="B712" s="2">
        <v>42795</v>
      </c>
      <c r="C712">
        <v>4144</v>
      </c>
      <c r="D712">
        <v>4242</v>
      </c>
      <c r="E712">
        <v>-98</v>
      </c>
      <c r="F712">
        <v>-2.31</v>
      </c>
    </row>
    <row r="713" spans="1:6" x14ac:dyDescent="0.3">
      <c r="A713">
        <v>532432</v>
      </c>
      <c r="B713" s="2">
        <v>43160</v>
      </c>
      <c r="C713">
        <v>3421</v>
      </c>
      <c r="D713">
        <v>4144</v>
      </c>
      <c r="E713">
        <v>-723</v>
      </c>
      <c r="F713">
        <v>-17.45</v>
      </c>
    </row>
    <row r="714" spans="1:6" x14ac:dyDescent="0.3">
      <c r="A714">
        <v>532432</v>
      </c>
      <c r="B714" s="2">
        <v>43525</v>
      </c>
      <c r="C714">
        <v>2883</v>
      </c>
      <c r="D714">
        <v>3421</v>
      </c>
      <c r="E714">
        <v>-538</v>
      </c>
      <c r="F714">
        <v>-15.73</v>
      </c>
    </row>
    <row r="715" spans="1:6" x14ac:dyDescent="0.3">
      <c r="A715">
        <v>532432</v>
      </c>
      <c r="B715" s="2">
        <v>43891</v>
      </c>
      <c r="C715">
        <v>2570</v>
      </c>
      <c r="D715">
        <v>2883</v>
      </c>
      <c r="E715">
        <v>-313</v>
      </c>
      <c r="F715">
        <v>-10.86</v>
      </c>
    </row>
    <row r="716" spans="1:6" x14ac:dyDescent="0.3">
      <c r="A716">
        <v>532432</v>
      </c>
      <c r="B716" s="2">
        <v>44256</v>
      </c>
      <c r="C716">
        <v>1037</v>
      </c>
      <c r="D716">
        <v>2570</v>
      </c>
      <c r="E716">
        <v>-1533</v>
      </c>
      <c r="F716">
        <v>-59.65</v>
      </c>
    </row>
    <row r="717" spans="1:6" x14ac:dyDescent="0.3">
      <c r="A717">
        <v>532432</v>
      </c>
      <c r="B717" s="2">
        <v>44621</v>
      </c>
      <c r="C717">
        <v>605</v>
      </c>
      <c r="D717">
        <v>1037</v>
      </c>
      <c r="E717">
        <v>-432</v>
      </c>
      <c r="F717">
        <v>-41.66</v>
      </c>
    </row>
    <row r="718" spans="1:6" x14ac:dyDescent="0.3">
      <c r="A718">
        <v>532432</v>
      </c>
      <c r="B718" s="2">
        <v>44986</v>
      </c>
      <c r="C718">
        <v>183</v>
      </c>
      <c r="D718">
        <v>605</v>
      </c>
      <c r="E718">
        <v>-422</v>
      </c>
      <c r="F718">
        <v>-69.75</v>
      </c>
    </row>
    <row r="719" spans="1:6" x14ac:dyDescent="0.3">
      <c r="A719">
        <v>532454</v>
      </c>
      <c r="B719" s="2">
        <v>41334</v>
      </c>
      <c r="C719">
        <v>66736</v>
      </c>
      <c r="D719">
        <v>69023</v>
      </c>
      <c r="E719">
        <v>-2287</v>
      </c>
      <c r="F719">
        <v>-3.31</v>
      </c>
    </row>
    <row r="720" spans="1:6" x14ac:dyDescent="0.3">
      <c r="A720">
        <v>532454</v>
      </c>
      <c r="B720" s="2">
        <v>41699</v>
      </c>
      <c r="C720">
        <v>75896</v>
      </c>
      <c r="D720">
        <v>66736</v>
      </c>
      <c r="E720">
        <v>9160</v>
      </c>
      <c r="F720">
        <v>13.73</v>
      </c>
    </row>
    <row r="721" spans="1:6" x14ac:dyDescent="0.3">
      <c r="A721">
        <v>532454</v>
      </c>
      <c r="B721" s="2">
        <v>42064</v>
      </c>
      <c r="C721">
        <v>83415</v>
      </c>
      <c r="D721">
        <v>75896</v>
      </c>
      <c r="E721">
        <v>7519</v>
      </c>
      <c r="F721">
        <v>9.91</v>
      </c>
    </row>
    <row r="722" spans="1:6" x14ac:dyDescent="0.3">
      <c r="A722">
        <v>532454</v>
      </c>
      <c r="B722" s="2">
        <v>42430</v>
      </c>
      <c r="C722">
        <v>100646</v>
      </c>
      <c r="D722">
        <v>83415</v>
      </c>
      <c r="E722">
        <v>17231</v>
      </c>
      <c r="F722">
        <v>20.66</v>
      </c>
    </row>
    <row r="723" spans="1:6" x14ac:dyDescent="0.3">
      <c r="A723">
        <v>532454</v>
      </c>
      <c r="B723" s="2">
        <v>42795</v>
      </c>
      <c r="C723">
        <v>107288</v>
      </c>
      <c r="D723">
        <v>100646</v>
      </c>
      <c r="E723">
        <v>6642</v>
      </c>
      <c r="F723">
        <v>6.6</v>
      </c>
    </row>
    <row r="724" spans="1:6" x14ac:dyDescent="0.3">
      <c r="A724">
        <v>532454</v>
      </c>
      <c r="B724" s="2">
        <v>43160</v>
      </c>
      <c r="C724">
        <v>111334</v>
      </c>
      <c r="D724">
        <v>107288</v>
      </c>
      <c r="E724">
        <v>4046</v>
      </c>
      <c r="F724">
        <v>3.77</v>
      </c>
    </row>
    <row r="725" spans="1:6" x14ac:dyDescent="0.3">
      <c r="A725">
        <v>532454</v>
      </c>
      <c r="B725" s="2">
        <v>43525</v>
      </c>
      <c r="C725">
        <v>125428</v>
      </c>
      <c r="D725">
        <v>111334</v>
      </c>
      <c r="E725">
        <v>14094</v>
      </c>
      <c r="F725">
        <v>12.66</v>
      </c>
    </row>
    <row r="726" spans="1:6" x14ac:dyDescent="0.3">
      <c r="A726">
        <v>532454</v>
      </c>
      <c r="B726" s="2">
        <v>43891</v>
      </c>
      <c r="C726">
        <v>148228</v>
      </c>
      <c r="D726">
        <v>125428</v>
      </c>
      <c r="E726">
        <v>22800</v>
      </c>
      <c r="F726">
        <v>18.18</v>
      </c>
    </row>
    <row r="727" spans="1:6" x14ac:dyDescent="0.3">
      <c r="A727">
        <v>532454</v>
      </c>
      <c r="B727" s="2">
        <v>44256</v>
      </c>
      <c r="C727">
        <v>162785</v>
      </c>
      <c r="D727">
        <v>148228</v>
      </c>
      <c r="E727">
        <v>14557</v>
      </c>
      <c r="F727">
        <v>9.82</v>
      </c>
    </row>
    <row r="728" spans="1:6" x14ac:dyDescent="0.3">
      <c r="A728">
        <v>532454</v>
      </c>
      <c r="B728" s="2">
        <v>44621</v>
      </c>
      <c r="C728">
        <v>169678</v>
      </c>
      <c r="D728">
        <v>162785</v>
      </c>
      <c r="E728">
        <v>6893</v>
      </c>
      <c r="F728">
        <v>4.2300000000000004</v>
      </c>
    </row>
    <row r="729" spans="1:6" x14ac:dyDescent="0.3">
      <c r="A729">
        <v>532454</v>
      </c>
      <c r="B729" s="2">
        <v>44986</v>
      </c>
      <c r="C729">
        <v>226020</v>
      </c>
      <c r="D729">
        <v>169678</v>
      </c>
      <c r="E729">
        <v>56342</v>
      </c>
      <c r="F729">
        <v>33.21</v>
      </c>
    </row>
    <row r="730" spans="1:6" x14ac:dyDescent="0.3">
      <c r="A730">
        <v>532461</v>
      </c>
      <c r="B730" s="2">
        <v>41334</v>
      </c>
      <c r="C730">
        <v>446090</v>
      </c>
      <c r="D730">
        <v>427054</v>
      </c>
      <c r="E730">
        <v>19036</v>
      </c>
      <c r="F730">
        <v>4.46</v>
      </c>
    </row>
    <row r="731" spans="1:6" x14ac:dyDescent="0.3">
      <c r="A731">
        <v>532461</v>
      </c>
      <c r="B731" s="2">
        <v>41699</v>
      </c>
      <c r="C731">
        <v>520237</v>
      </c>
      <c r="D731">
        <v>446090</v>
      </c>
      <c r="E731">
        <v>74147</v>
      </c>
      <c r="F731">
        <v>16.62</v>
      </c>
    </row>
    <row r="732" spans="1:6" x14ac:dyDescent="0.3">
      <c r="A732">
        <v>532461</v>
      </c>
      <c r="B732" s="2">
        <v>42064</v>
      </c>
      <c r="C732">
        <v>574450</v>
      </c>
      <c r="D732">
        <v>520237</v>
      </c>
      <c r="E732">
        <v>54213</v>
      </c>
      <c r="F732">
        <v>10.42</v>
      </c>
    </row>
    <row r="733" spans="1:6" x14ac:dyDescent="0.3">
      <c r="A733">
        <v>532461</v>
      </c>
      <c r="B733" s="2">
        <v>42430</v>
      </c>
      <c r="C733">
        <v>652056</v>
      </c>
      <c r="D733">
        <v>574450</v>
      </c>
      <c r="E733">
        <v>77606</v>
      </c>
      <c r="F733">
        <v>13.51</v>
      </c>
    </row>
    <row r="734" spans="1:6" x14ac:dyDescent="0.3">
      <c r="A734">
        <v>532461</v>
      </c>
      <c r="B734" s="2">
        <v>42795</v>
      </c>
      <c r="C734">
        <v>672987</v>
      </c>
      <c r="D734">
        <v>652056</v>
      </c>
      <c r="E734">
        <v>20931</v>
      </c>
      <c r="F734">
        <v>3.21</v>
      </c>
    </row>
    <row r="735" spans="1:6" x14ac:dyDescent="0.3">
      <c r="A735">
        <v>532461</v>
      </c>
      <c r="B735" s="2">
        <v>43160</v>
      </c>
      <c r="C735">
        <v>713769</v>
      </c>
      <c r="D735">
        <v>672987</v>
      </c>
      <c r="E735">
        <v>40782</v>
      </c>
      <c r="F735">
        <v>6.06</v>
      </c>
    </row>
    <row r="736" spans="1:6" x14ac:dyDescent="0.3">
      <c r="A736">
        <v>532461</v>
      </c>
      <c r="B736" s="2">
        <v>43525</v>
      </c>
      <c r="C736">
        <v>728702</v>
      </c>
      <c r="D736">
        <v>713769</v>
      </c>
      <c r="E736">
        <v>14933</v>
      </c>
      <c r="F736">
        <v>2.09</v>
      </c>
    </row>
    <row r="737" spans="1:6" x14ac:dyDescent="0.3">
      <c r="A737">
        <v>532461</v>
      </c>
      <c r="B737" s="2">
        <v>43891</v>
      </c>
      <c r="C737">
        <v>772767</v>
      </c>
      <c r="D737">
        <v>728702</v>
      </c>
      <c r="E737">
        <v>44065</v>
      </c>
      <c r="F737">
        <v>6.05</v>
      </c>
    </row>
    <row r="738" spans="1:6" x14ac:dyDescent="0.3">
      <c r="A738">
        <v>532461</v>
      </c>
      <c r="B738" s="2">
        <v>44256</v>
      </c>
      <c r="C738">
        <v>1166015</v>
      </c>
      <c r="D738">
        <v>772767</v>
      </c>
      <c r="E738">
        <v>393248</v>
      </c>
      <c r="F738">
        <v>50.89</v>
      </c>
    </row>
    <row r="739" spans="1:6" x14ac:dyDescent="0.3">
      <c r="A739">
        <v>532461</v>
      </c>
      <c r="B739" s="2">
        <v>44621</v>
      </c>
      <c r="C739">
        <v>1213606</v>
      </c>
      <c r="D739">
        <v>1166015</v>
      </c>
      <c r="E739">
        <v>47591</v>
      </c>
      <c r="F739">
        <v>4.08</v>
      </c>
    </row>
    <row r="740" spans="1:6" x14ac:dyDescent="0.3">
      <c r="A740">
        <v>532483</v>
      </c>
      <c r="B740" s="2">
        <v>41334</v>
      </c>
      <c r="C740">
        <v>376040</v>
      </c>
      <c r="D740">
        <v>342508</v>
      </c>
      <c r="E740">
        <v>33532</v>
      </c>
      <c r="F740">
        <v>9.7899999999999991</v>
      </c>
    </row>
    <row r="741" spans="1:6" x14ac:dyDescent="0.3">
      <c r="A741">
        <v>532483</v>
      </c>
      <c r="B741" s="2">
        <v>41699</v>
      </c>
      <c r="C741">
        <v>447913</v>
      </c>
      <c r="D741">
        <v>376040</v>
      </c>
      <c r="E741">
        <v>71873</v>
      </c>
      <c r="F741">
        <v>19.11</v>
      </c>
    </row>
    <row r="742" spans="1:6" x14ac:dyDescent="0.3">
      <c r="A742">
        <v>532483</v>
      </c>
      <c r="B742" s="2">
        <v>42064</v>
      </c>
      <c r="C742">
        <v>499488</v>
      </c>
      <c r="D742">
        <v>447913</v>
      </c>
      <c r="E742">
        <v>51575</v>
      </c>
      <c r="F742">
        <v>11.51</v>
      </c>
    </row>
    <row r="743" spans="1:6" x14ac:dyDescent="0.3">
      <c r="A743">
        <v>532483</v>
      </c>
      <c r="B743" s="2">
        <v>42430</v>
      </c>
      <c r="C743">
        <v>506712</v>
      </c>
      <c r="D743">
        <v>499488</v>
      </c>
      <c r="E743">
        <v>7224</v>
      </c>
      <c r="F743">
        <v>1.45</v>
      </c>
    </row>
    <row r="744" spans="1:6" x14ac:dyDescent="0.3">
      <c r="A744">
        <v>532483</v>
      </c>
      <c r="B744" s="2">
        <v>42795</v>
      </c>
      <c r="C744">
        <v>534858</v>
      </c>
      <c r="D744">
        <v>506712</v>
      </c>
      <c r="E744">
        <v>28146</v>
      </c>
      <c r="F744">
        <v>5.55</v>
      </c>
    </row>
    <row r="745" spans="1:6" x14ac:dyDescent="0.3">
      <c r="A745">
        <v>532483</v>
      </c>
      <c r="B745" s="2">
        <v>43160</v>
      </c>
      <c r="C745">
        <v>563756</v>
      </c>
      <c r="D745">
        <v>534858</v>
      </c>
      <c r="E745">
        <v>28898</v>
      </c>
      <c r="F745">
        <v>5.4</v>
      </c>
    </row>
    <row r="746" spans="1:6" x14ac:dyDescent="0.3">
      <c r="A746">
        <v>532483</v>
      </c>
      <c r="B746" s="2">
        <v>43525</v>
      </c>
      <c r="C746">
        <v>640166</v>
      </c>
      <c r="D746">
        <v>563756</v>
      </c>
      <c r="E746">
        <v>76410</v>
      </c>
      <c r="F746">
        <v>13.55</v>
      </c>
    </row>
    <row r="747" spans="1:6" x14ac:dyDescent="0.3">
      <c r="A747">
        <v>532483</v>
      </c>
      <c r="B747" s="2">
        <v>43891</v>
      </c>
      <c r="C747">
        <v>668170</v>
      </c>
      <c r="D747">
        <v>640166</v>
      </c>
      <c r="E747">
        <v>28004</v>
      </c>
      <c r="F747">
        <v>4.37</v>
      </c>
    </row>
    <row r="748" spans="1:6" x14ac:dyDescent="0.3">
      <c r="A748">
        <v>532483</v>
      </c>
      <c r="B748" s="2">
        <v>44256</v>
      </c>
      <c r="C748">
        <v>1060998</v>
      </c>
      <c r="D748">
        <v>668170</v>
      </c>
      <c r="E748">
        <v>392828</v>
      </c>
      <c r="F748">
        <v>58.79</v>
      </c>
    </row>
    <row r="749" spans="1:6" x14ac:dyDescent="0.3">
      <c r="A749">
        <v>532483</v>
      </c>
      <c r="B749" s="2">
        <v>44621</v>
      </c>
      <c r="C749">
        <v>1132626</v>
      </c>
      <c r="D749">
        <v>1060998</v>
      </c>
      <c r="E749">
        <v>71628</v>
      </c>
      <c r="F749">
        <v>6.75</v>
      </c>
    </row>
    <row r="750" spans="1:6" x14ac:dyDescent="0.3">
      <c r="A750">
        <v>532488</v>
      </c>
      <c r="B750" s="2">
        <v>41334</v>
      </c>
      <c r="C750">
        <v>33</v>
      </c>
      <c r="D750">
        <v>55</v>
      </c>
      <c r="E750">
        <v>-22</v>
      </c>
      <c r="F750">
        <v>-40</v>
      </c>
    </row>
    <row r="751" spans="1:6" x14ac:dyDescent="0.3">
      <c r="A751">
        <v>532488</v>
      </c>
      <c r="B751" s="2">
        <v>41699</v>
      </c>
      <c r="C751">
        <v>18</v>
      </c>
      <c r="D751">
        <v>33</v>
      </c>
      <c r="E751">
        <v>-15</v>
      </c>
      <c r="F751">
        <v>-45.45</v>
      </c>
    </row>
    <row r="752" spans="1:6" x14ac:dyDescent="0.3">
      <c r="A752">
        <v>532488</v>
      </c>
      <c r="B752" s="2">
        <v>42064</v>
      </c>
      <c r="C752">
        <v>27</v>
      </c>
      <c r="D752">
        <v>18</v>
      </c>
      <c r="E752">
        <v>9</v>
      </c>
      <c r="F752">
        <v>50</v>
      </c>
    </row>
    <row r="753" spans="1:6" x14ac:dyDescent="0.3">
      <c r="A753">
        <v>532488</v>
      </c>
      <c r="B753" s="2">
        <v>42430</v>
      </c>
      <c r="C753">
        <v>42</v>
      </c>
      <c r="D753">
        <v>27</v>
      </c>
      <c r="E753">
        <v>15</v>
      </c>
      <c r="F753">
        <v>55.56</v>
      </c>
    </row>
    <row r="754" spans="1:6" x14ac:dyDescent="0.3">
      <c r="A754">
        <v>532488</v>
      </c>
      <c r="B754" s="2">
        <v>42795</v>
      </c>
      <c r="C754">
        <v>36</v>
      </c>
      <c r="D754">
        <v>42</v>
      </c>
      <c r="E754">
        <v>-6</v>
      </c>
      <c r="F754">
        <v>-14.29</v>
      </c>
    </row>
    <row r="755" spans="1:6" x14ac:dyDescent="0.3">
      <c r="A755">
        <v>532488</v>
      </c>
      <c r="B755" s="2">
        <v>43160</v>
      </c>
      <c r="C755">
        <v>63</v>
      </c>
      <c r="D755">
        <v>36</v>
      </c>
      <c r="E755">
        <v>27</v>
      </c>
      <c r="F755">
        <v>75</v>
      </c>
    </row>
    <row r="756" spans="1:6" x14ac:dyDescent="0.3">
      <c r="A756">
        <v>532488</v>
      </c>
      <c r="B756" s="2">
        <v>43525</v>
      </c>
      <c r="C756">
        <v>106</v>
      </c>
      <c r="D756">
        <v>63</v>
      </c>
      <c r="E756">
        <v>43</v>
      </c>
      <c r="F756">
        <v>68.25</v>
      </c>
    </row>
    <row r="757" spans="1:6" x14ac:dyDescent="0.3">
      <c r="A757">
        <v>532488</v>
      </c>
      <c r="B757" s="2">
        <v>43891</v>
      </c>
      <c r="C757">
        <v>39</v>
      </c>
      <c r="D757">
        <v>106</v>
      </c>
      <c r="E757">
        <v>-67</v>
      </c>
      <c r="F757">
        <v>-63.21</v>
      </c>
    </row>
    <row r="758" spans="1:6" x14ac:dyDescent="0.3">
      <c r="A758">
        <v>532488</v>
      </c>
      <c r="B758" s="2">
        <v>44256</v>
      </c>
      <c r="C758">
        <v>5</v>
      </c>
      <c r="D758">
        <v>39</v>
      </c>
      <c r="E758">
        <v>-34</v>
      </c>
      <c r="F758">
        <v>-87.18</v>
      </c>
    </row>
    <row r="759" spans="1:6" x14ac:dyDescent="0.3">
      <c r="A759">
        <v>532488</v>
      </c>
      <c r="B759" s="2">
        <v>44621</v>
      </c>
      <c r="C759">
        <v>4</v>
      </c>
      <c r="D759">
        <v>5</v>
      </c>
      <c r="E759">
        <v>-1</v>
      </c>
      <c r="F759">
        <v>-20</v>
      </c>
    </row>
    <row r="760" spans="1:6" x14ac:dyDescent="0.3">
      <c r="A760">
        <v>532488</v>
      </c>
      <c r="B760" s="2">
        <v>44986</v>
      </c>
      <c r="C760">
        <v>3</v>
      </c>
      <c r="D760">
        <v>4</v>
      </c>
      <c r="E760">
        <v>-1</v>
      </c>
      <c r="F760">
        <v>-25</v>
      </c>
    </row>
    <row r="761" spans="1:6" x14ac:dyDescent="0.3">
      <c r="A761">
        <v>532500</v>
      </c>
      <c r="B761" s="2">
        <v>41334</v>
      </c>
      <c r="C761">
        <v>1569</v>
      </c>
      <c r="D761">
        <v>1421</v>
      </c>
      <c r="E761">
        <v>148</v>
      </c>
      <c r="F761">
        <v>10.42</v>
      </c>
    </row>
    <row r="762" spans="1:6" x14ac:dyDescent="0.3">
      <c r="A762">
        <v>532500</v>
      </c>
      <c r="B762" s="2">
        <v>41699</v>
      </c>
      <c r="C762">
        <v>2004</v>
      </c>
      <c r="D762">
        <v>1569</v>
      </c>
      <c r="E762">
        <v>435</v>
      </c>
      <c r="F762">
        <v>27.72</v>
      </c>
    </row>
    <row r="763" spans="1:6" x14ac:dyDescent="0.3">
      <c r="A763">
        <v>532500</v>
      </c>
      <c r="B763" s="2">
        <v>42064</v>
      </c>
      <c r="C763">
        <v>666</v>
      </c>
      <c r="D763">
        <v>2004</v>
      </c>
      <c r="E763">
        <v>-1338</v>
      </c>
      <c r="F763">
        <v>-66.77</v>
      </c>
    </row>
    <row r="764" spans="1:6" x14ac:dyDescent="0.3">
      <c r="A764">
        <v>532500</v>
      </c>
      <c r="B764" s="2">
        <v>42430</v>
      </c>
      <c r="C764">
        <v>231</v>
      </c>
      <c r="D764">
        <v>666</v>
      </c>
      <c r="E764">
        <v>-435</v>
      </c>
      <c r="F764">
        <v>-65.319999999999993</v>
      </c>
    </row>
    <row r="765" spans="1:6" x14ac:dyDescent="0.3">
      <c r="A765">
        <v>532500</v>
      </c>
      <c r="B765" s="2">
        <v>42795</v>
      </c>
      <c r="C765">
        <v>484</v>
      </c>
      <c r="D765">
        <v>231</v>
      </c>
      <c r="E765">
        <v>253</v>
      </c>
      <c r="F765">
        <v>109.52</v>
      </c>
    </row>
    <row r="766" spans="1:6" x14ac:dyDescent="0.3">
      <c r="A766">
        <v>532500</v>
      </c>
      <c r="B766" s="2">
        <v>43160</v>
      </c>
      <c r="C766">
        <v>121</v>
      </c>
      <c r="D766">
        <v>484</v>
      </c>
      <c r="E766">
        <v>-363</v>
      </c>
      <c r="F766">
        <v>-75</v>
      </c>
    </row>
    <row r="767" spans="1:6" x14ac:dyDescent="0.3">
      <c r="A767">
        <v>532500</v>
      </c>
      <c r="B767" s="2">
        <v>43525</v>
      </c>
      <c r="C767">
        <v>160</v>
      </c>
      <c r="D767">
        <v>121</v>
      </c>
      <c r="E767">
        <v>39</v>
      </c>
      <c r="F767">
        <v>32.229999999999997</v>
      </c>
    </row>
    <row r="768" spans="1:6" x14ac:dyDescent="0.3">
      <c r="A768">
        <v>532500</v>
      </c>
      <c r="B768" s="2">
        <v>43891</v>
      </c>
      <c r="C768">
        <v>184</v>
      </c>
      <c r="D768">
        <v>160</v>
      </c>
      <c r="E768">
        <v>24</v>
      </c>
      <c r="F768">
        <v>15</v>
      </c>
    </row>
    <row r="769" spans="1:6" x14ac:dyDescent="0.3">
      <c r="A769">
        <v>532500</v>
      </c>
      <c r="B769" s="2">
        <v>44256</v>
      </c>
      <c r="C769">
        <v>541</v>
      </c>
      <c r="D769">
        <v>184</v>
      </c>
      <c r="E769">
        <v>357</v>
      </c>
      <c r="F769">
        <v>194.02</v>
      </c>
    </row>
    <row r="770" spans="1:6" x14ac:dyDescent="0.3">
      <c r="A770">
        <v>532500</v>
      </c>
      <c r="B770" s="2">
        <v>44621</v>
      </c>
      <c r="C770">
        <v>426</v>
      </c>
      <c r="D770">
        <v>541</v>
      </c>
      <c r="E770">
        <v>-115</v>
      </c>
      <c r="F770">
        <v>-21.26</v>
      </c>
    </row>
    <row r="771" spans="1:6" x14ac:dyDescent="0.3">
      <c r="A771">
        <v>532500</v>
      </c>
      <c r="B771" s="2">
        <v>44986</v>
      </c>
      <c r="C771">
        <v>1247</v>
      </c>
      <c r="D771">
        <v>426</v>
      </c>
      <c r="E771">
        <v>821</v>
      </c>
      <c r="F771">
        <v>192.72</v>
      </c>
    </row>
    <row r="772" spans="1:6" x14ac:dyDescent="0.3">
      <c r="A772">
        <v>532538</v>
      </c>
      <c r="B772" s="2">
        <v>41334</v>
      </c>
      <c r="C772">
        <v>7342</v>
      </c>
      <c r="D772">
        <v>5891</v>
      </c>
      <c r="E772">
        <v>1451</v>
      </c>
      <c r="F772">
        <v>24.63</v>
      </c>
    </row>
    <row r="773" spans="1:6" x14ac:dyDescent="0.3">
      <c r="A773">
        <v>532538</v>
      </c>
      <c r="B773" s="2">
        <v>41699</v>
      </c>
      <c r="C773">
        <v>7332</v>
      </c>
      <c r="D773">
        <v>7342</v>
      </c>
      <c r="E773">
        <v>-10</v>
      </c>
      <c r="F773">
        <v>-0.14000000000000001</v>
      </c>
    </row>
    <row r="774" spans="1:6" x14ac:dyDescent="0.3">
      <c r="A774">
        <v>532538</v>
      </c>
      <c r="B774" s="2">
        <v>42064</v>
      </c>
      <c r="C774">
        <v>9829</v>
      </c>
      <c r="D774">
        <v>7332</v>
      </c>
      <c r="E774">
        <v>2497</v>
      </c>
      <c r="F774">
        <v>34.06</v>
      </c>
    </row>
    <row r="775" spans="1:6" x14ac:dyDescent="0.3">
      <c r="A775">
        <v>532538</v>
      </c>
      <c r="B775" s="2">
        <v>42430</v>
      </c>
      <c r="C775">
        <v>10616</v>
      </c>
      <c r="D775">
        <v>9829</v>
      </c>
      <c r="E775">
        <v>787</v>
      </c>
      <c r="F775">
        <v>8.01</v>
      </c>
    </row>
    <row r="776" spans="1:6" x14ac:dyDescent="0.3">
      <c r="A776">
        <v>532538</v>
      </c>
      <c r="B776" s="2">
        <v>42795</v>
      </c>
      <c r="C776">
        <v>8474</v>
      </c>
      <c r="D776">
        <v>10616</v>
      </c>
      <c r="E776">
        <v>-2142</v>
      </c>
      <c r="F776">
        <v>-20.18</v>
      </c>
    </row>
    <row r="777" spans="1:6" x14ac:dyDescent="0.3">
      <c r="A777">
        <v>532538</v>
      </c>
      <c r="B777" s="2">
        <v>43160</v>
      </c>
      <c r="C777">
        <v>19480</v>
      </c>
      <c r="D777">
        <v>8474</v>
      </c>
      <c r="E777">
        <v>11006</v>
      </c>
      <c r="F777">
        <v>129.88</v>
      </c>
    </row>
    <row r="778" spans="1:6" x14ac:dyDescent="0.3">
      <c r="A778">
        <v>532538</v>
      </c>
      <c r="B778" s="2">
        <v>43525</v>
      </c>
      <c r="C778">
        <v>25337</v>
      </c>
      <c r="D778">
        <v>19480</v>
      </c>
      <c r="E778">
        <v>5857</v>
      </c>
      <c r="F778">
        <v>30.07</v>
      </c>
    </row>
    <row r="779" spans="1:6" x14ac:dyDescent="0.3">
      <c r="A779">
        <v>532538</v>
      </c>
      <c r="B779" s="2">
        <v>43891</v>
      </c>
      <c r="C779">
        <v>23019</v>
      </c>
      <c r="D779">
        <v>25337</v>
      </c>
      <c r="E779">
        <v>-2318</v>
      </c>
      <c r="F779">
        <v>-9.15</v>
      </c>
    </row>
    <row r="780" spans="1:6" x14ac:dyDescent="0.3">
      <c r="A780">
        <v>532538</v>
      </c>
      <c r="B780" s="2">
        <v>44256</v>
      </c>
      <c r="C780">
        <v>21719</v>
      </c>
      <c r="D780">
        <v>23019</v>
      </c>
      <c r="E780">
        <v>-1300</v>
      </c>
      <c r="F780">
        <v>-5.65</v>
      </c>
    </row>
    <row r="781" spans="1:6" x14ac:dyDescent="0.3">
      <c r="A781">
        <v>532538</v>
      </c>
      <c r="B781" s="2">
        <v>44621</v>
      </c>
      <c r="C781">
        <v>11299</v>
      </c>
      <c r="D781">
        <v>21719</v>
      </c>
      <c r="E781">
        <v>-10420</v>
      </c>
      <c r="F781">
        <v>-47.98</v>
      </c>
    </row>
    <row r="782" spans="1:6" x14ac:dyDescent="0.3">
      <c r="A782">
        <v>532538</v>
      </c>
      <c r="B782" s="2">
        <v>44986</v>
      </c>
      <c r="C782">
        <v>11058</v>
      </c>
      <c r="D782">
        <v>11299</v>
      </c>
      <c r="E782">
        <v>-241</v>
      </c>
      <c r="F782">
        <v>-2.13</v>
      </c>
    </row>
    <row r="783" spans="1:6" x14ac:dyDescent="0.3">
      <c r="A783">
        <v>532540</v>
      </c>
      <c r="B783" s="2">
        <v>41334</v>
      </c>
      <c r="C783">
        <v>232</v>
      </c>
      <c r="D783">
        <v>127</v>
      </c>
      <c r="E783">
        <v>105</v>
      </c>
      <c r="F783">
        <v>82.68</v>
      </c>
    </row>
    <row r="784" spans="1:6" x14ac:dyDescent="0.3">
      <c r="A784">
        <v>532540</v>
      </c>
      <c r="B784" s="2">
        <v>41699</v>
      </c>
      <c r="C784">
        <v>297</v>
      </c>
      <c r="D784">
        <v>232</v>
      </c>
      <c r="E784">
        <v>65</v>
      </c>
      <c r="F784">
        <v>28.02</v>
      </c>
    </row>
    <row r="785" spans="1:6" x14ac:dyDescent="0.3">
      <c r="A785">
        <v>532540</v>
      </c>
      <c r="B785" s="2">
        <v>42064</v>
      </c>
      <c r="C785">
        <v>358</v>
      </c>
      <c r="D785">
        <v>297</v>
      </c>
      <c r="E785">
        <v>61</v>
      </c>
      <c r="F785">
        <v>20.54</v>
      </c>
    </row>
    <row r="786" spans="1:6" x14ac:dyDescent="0.3">
      <c r="A786">
        <v>532540</v>
      </c>
      <c r="B786" s="2">
        <v>42430</v>
      </c>
      <c r="C786">
        <v>245</v>
      </c>
      <c r="D786">
        <v>358</v>
      </c>
      <c r="E786">
        <v>-113</v>
      </c>
      <c r="F786">
        <v>-31.56</v>
      </c>
    </row>
    <row r="787" spans="1:6" x14ac:dyDescent="0.3">
      <c r="A787">
        <v>532540</v>
      </c>
      <c r="B787" s="2">
        <v>42795</v>
      </c>
      <c r="C787">
        <v>289</v>
      </c>
      <c r="D787">
        <v>245</v>
      </c>
      <c r="E787">
        <v>44</v>
      </c>
      <c r="F787">
        <v>17.96</v>
      </c>
    </row>
    <row r="788" spans="1:6" x14ac:dyDescent="0.3">
      <c r="A788">
        <v>532540</v>
      </c>
      <c r="B788" s="2">
        <v>43160</v>
      </c>
      <c r="C788">
        <v>247</v>
      </c>
      <c r="D788">
        <v>289</v>
      </c>
      <c r="E788">
        <v>-42</v>
      </c>
      <c r="F788">
        <v>-14.53</v>
      </c>
    </row>
    <row r="789" spans="1:6" x14ac:dyDescent="0.3">
      <c r="A789">
        <v>532540</v>
      </c>
      <c r="B789" s="2">
        <v>43525</v>
      </c>
      <c r="C789">
        <v>62</v>
      </c>
      <c r="D789">
        <v>247</v>
      </c>
      <c r="E789">
        <v>-185</v>
      </c>
      <c r="F789">
        <v>-74.900000000000006</v>
      </c>
    </row>
    <row r="790" spans="1:6" x14ac:dyDescent="0.3">
      <c r="A790">
        <v>532540</v>
      </c>
      <c r="B790" s="2">
        <v>43891</v>
      </c>
      <c r="C790">
        <v>8174</v>
      </c>
      <c r="D790">
        <v>62</v>
      </c>
      <c r="E790">
        <v>8112</v>
      </c>
      <c r="F790">
        <v>13083.87</v>
      </c>
    </row>
    <row r="791" spans="1:6" x14ac:dyDescent="0.3">
      <c r="A791">
        <v>532540</v>
      </c>
      <c r="B791" s="2">
        <v>44256</v>
      </c>
      <c r="C791">
        <v>7795</v>
      </c>
      <c r="D791">
        <v>8174</v>
      </c>
      <c r="E791">
        <v>-379</v>
      </c>
      <c r="F791">
        <v>-4.6399999999999997</v>
      </c>
    </row>
    <row r="792" spans="1:6" x14ac:dyDescent="0.3">
      <c r="A792">
        <v>532540</v>
      </c>
      <c r="B792" s="2">
        <v>44621</v>
      </c>
      <c r="C792">
        <v>7818</v>
      </c>
      <c r="D792">
        <v>7795</v>
      </c>
      <c r="E792">
        <v>23</v>
      </c>
      <c r="F792">
        <v>0.3</v>
      </c>
    </row>
    <row r="793" spans="1:6" x14ac:dyDescent="0.3">
      <c r="A793">
        <v>532540</v>
      </c>
      <c r="B793" s="2">
        <v>44986</v>
      </c>
      <c r="C793">
        <v>7688</v>
      </c>
      <c r="D793">
        <v>7818</v>
      </c>
      <c r="E793">
        <v>-130</v>
      </c>
      <c r="F793">
        <v>-1.66</v>
      </c>
    </row>
    <row r="794" spans="1:6" x14ac:dyDescent="0.3">
      <c r="A794">
        <v>532555</v>
      </c>
      <c r="B794" s="2">
        <v>41334</v>
      </c>
      <c r="C794">
        <v>70419</v>
      </c>
      <c r="D794">
        <v>59804</v>
      </c>
      <c r="E794">
        <v>10615</v>
      </c>
      <c r="F794">
        <v>17.75</v>
      </c>
    </row>
    <row r="795" spans="1:6" x14ac:dyDescent="0.3">
      <c r="A795">
        <v>532555</v>
      </c>
      <c r="B795" s="2">
        <v>41699</v>
      </c>
      <c r="C795">
        <v>81455</v>
      </c>
      <c r="D795">
        <v>70419</v>
      </c>
      <c r="E795">
        <v>11036</v>
      </c>
      <c r="F795">
        <v>15.67</v>
      </c>
    </row>
    <row r="796" spans="1:6" x14ac:dyDescent="0.3">
      <c r="A796">
        <v>532555</v>
      </c>
      <c r="B796" s="2">
        <v>42064</v>
      </c>
      <c r="C796">
        <v>102252</v>
      </c>
      <c r="D796">
        <v>81455</v>
      </c>
      <c r="E796">
        <v>20797</v>
      </c>
      <c r="F796">
        <v>25.53</v>
      </c>
    </row>
    <row r="797" spans="1:6" x14ac:dyDescent="0.3">
      <c r="A797">
        <v>532555</v>
      </c>
      <c r="B797" s="2">
        <v>42430</v>
      </c>
      <c r="C797">
        <v>99424</v>
      </c>
      <c r="D797">
        <v>102252</v>
      </c>
      <c r="E797">
        <v>-2828</v>
      </c>
      <c r="F797">
        <v>-2.77</v>
      </c>
    </row>
    <row r="798" spans="1:6" x14ac:dyDescent="0.3">
      <c r="A798">
        <v>532555</v>
      </c>
      <c r="B798" s="2">
        <v>42795</v>
      </c>
      <c r="C798">
        <v>113773</v>
      </c>
      <c r="D798">
        <v>99424</v>
      </c>
      <c r="E798">
        <v>14349</v>
      </c>
      <c r="F798">
        <v>14.43</v>
      </c>
    </row>
    <row r="799" spans="1:6" x14ac:dyDescent="0.3">
      <c r="A799">
        <v>532555</v>
      </c>
      <c r="B799" s="2">
        <v>43160</v>
      </c>
      <c r="C799">
        <v>130049</v>
      </c>
      <c r="D799">
        <v>113773</v>
      </c>
      <c r="E799">
        <v>16276</v>
      </c>
      <c r="F799">
        <v>14.31</v>
      </c>
    </row>
    <row r="800" spans="1:6" x14ac:dyDescent="0.3">
      <c r="A800">
        <v>532555</v>
      </c>
      <c r="B800" s="2">
        <v>43525</v>
      </c>
      <c r="C800">
        <v>173058</v>
      </c>
      <c r="D800">
        <v>130049</v>
      </c>
      <c r="E800">
        <v>43009</v>
      </c>
      <c r="F800">
        <v>33.07</v>
      </c>
    </row>
    <row r="801" spans="1:6" x14ac:dyDescent="0.3">
      <c r="A801">
        <v>532555</v>
      </c>
      <c r="B801" s="2">
        <v>43891</v>
      </c>
      <c r="C801">
        <v>202984</v>
      </c>
      <c r="D801">
        <v>173058</v>
      </c>
      <c r="E801">
        <v>29926</v>
      </c>
      <c r="F801">
        <v>17.29</v>
      </c>
    </row>
    <row r="802" spans="1:6" x14ac:dyDescent="0.3">
      <c r="A802">
        <v>532555</v>
      </c>
      <c r="B802" s="2">
        <v>44256</v>
      </c>
      <c r="C802">
        <v>210208</v>
      </c>
      <c r="D802">
        <v>202984</v>
      </c>
      <c r="E802">
        <v>7224</v>
      </c>
      <c r="F802">
        <v>3.56</v>
      </c>
    </row>
    <row r="803" spans="1:6" x14ac:dyDescent="0.3">
      <c r="A803">
        <v>532555</v>
      </c>
      <c r="B803" s="2">
        <v>44621</v>
      </c>
      <c r="C803">
        <v>210707</v>
      </c>
      <c r="D803">
        <v>210208</v>
      </c>
      <c r="E803">
        <v>499</v>
      </c>
      <c r="F803">
        <v>0.24</v>
      </c>
    </row>
    <row r="804" spans="1:6" x14ac:dyDescent="0.3">
      <c r="A804">
        <v>532555</v>
      </c>
      <c r="B804" s="2">
        <v>44986</v>
      </c>
      <c r="C804">
        <v>221626</v>
      </c>
      <c r="D804">
        <v>210707</v>
      </c>
      <c r="E804">
        <v>10919</v>
      </c>
      <c r="F804">
        <v>5.18</v>
      </c>
    </row>
    <row r="805" spans="1:6" x14ac:dyDescent="0.3">
      <c r="A805">
        <v>532755</v>
      </c>
      <c r="B805" s="2">
        <v>41334</v>
      </c>
      <c r="C805">
        <v>1380</v>
      </c>
      <c r="D805">
        <v>1127</v>
      </c>
      <c r="E805">
        <v>253</v>
      </c>
      <c r="F805">
        <v>22.45</v>
      </c>
    </row>
    <row r="806" spans="1:6" x14ac:dyDescent="0.3">
      <c r="A806">
        <v>532755</v>
      </c>
      <c r="B806" s="2">
        <v>41699</v>
      </c>
      <c r="C806">
        <v>363</v>
      </c>
      <c r="D806">
        <v>1380</v>
      </c>
      <c r="E806">
        <v>-1017</v>
      </c>
      <c r="F806">
        <v>-73.7</v>
      </c>
    </row>
    <row r="807" spans="1:6" x14ac:dyDescent="0.3">
      <c r="A807">
        <v>532755</v>
      </c>
      <c r="B807" s="2">
        <v>42064</v>
      </c>
      <c r="C807">
        <v>700</v>
      </c>
      <c r="D807">
        <v>363</v>
      </c>
      <c r="E807">
        <v>337</v>
      </c>
      <c r="F807">
        <v>92.84</v>
      </c>
    </row>
    <row r="808" spans="1:6" x14ac:dyDescent="0.3">
      <c r="A808">
        <v>532755</v>
      </c>
      <c r="B808" s="2">
        <v>42430</v>
      </c>
      <c r="C808">
        <v>1091</v>
      </c>
      <c r="D808">
        <v>700</v>
      </c>
      <c r="E808">
        <v>391</v>
      </c>
      <c r="F808">
        <v>55.86</v>
      </c>
    </row>
    <row r="809" spans="1:6" x14ac:dyDescent="0.3">
      <c r="A809">
        <v>532755</v>
      </c>
      <c r="B809" s="2">
        <v>42795</v>
      </c>
      <c r="C809">
        <v>1366</v>
      </c>
      <c r="D809">
        <v>1091</v>
      </c>
      <c r="E809">
        <v>275</v>
      </c>
      <c r="F809">
        <v>25.21</v>
      </c>
    </row>
    <row r="810" spans="1:6" x14ac:dyDescent="0.3">
      <c r="A810">
        <v>532755</v>
      </c>
      <c r="B810" s="2">
        <v>43160</v>
      </c>
      <c r="C810">
        <v>2397</v>
      </c>
      <c r="D810">
        <v>1366</v>
      </c>
      <c r="E810">
        <v>1031</v>
      </c>
      <c r="F810">
        <v>75.48</v>
      </c>
    </row>
    <row r="811" spans="1:6" x14ac:dyDescent="0.3">
      <c r="A811">
        <v>532755</v>
      </c>
      <c r="B811" s="2">
        <v>43525</v>
      </c>
      <c r="C811">
        <v>1996</v>
      </c>
      <c r="D811">
        <v>2397</v>
      </c>
      <c r="E811">
        <v>-401</v>
      </c>
      <c r="F811">
        <v>-16.73</v>
      </c>
    </row>
    <row r="812" spans="1:6" x14ac:dyDescent="0.3">
      <c r="A812">
        <v>532755</v>
      </c>
      <c r="B812" s="2">
        <v>43891</v>
      </c>
      <c r="C812">
        <v>3670</v>
      </c>
      <c r="D812">
        <v>1996</v>
      </c>
      <c r="E812">
        <v>1674</v>
      </c>
      <c r="F812">
        <v>83.87</v>
      </c>
    </row>
    <row r="813" spans="1:6" x14ac:dyDescent="0.3">
      <c r="A813">
        <v>532755</v>
      </c>
      <c r="B813" s="2">
        <v>44256</v>
      </c>
      <c r="C813">
        <v>2901</v>
      </c>
      <c r="D813">
        <v>3670</v>
      </c>
      <c r="E813">
        <v>-769</v>
      </c>
      <c r="F813">
        <v>-20.95</v>
      </c>
    </row>
    <row r="814" spans="1:6" x14ac:dyDescent="0.3">
      <c r="A814">
        <v>532755</v>
      </c>
      <c r="B814" s="2">
        <v>44621</v>
      </c>
      <c r="C814">
        <v>2618</v>
      </c>
      <c r="D814">
        <v>2901</v>
      </c>
      <c r="E814">
        <v>-283</v>
      </c>
      <c r="F814">
        <v>-9.76</v>
      </c>
    </row>
    <row r="815" spans="1:6" x14ac:dyDescent="0.3">
      <c r="A815">
        <v>532755</v>
      </c>
      <c r="B815" s="2">
        <v>44986</v>
      </c>
      <c r="C815">
        <v>2740</v>
      </c>
      <c r="D815">
        <v>2618</v>
      </c>
      <c r="E815">
        <v>122</v>
      </c>
      <c r="F815">
        <v>4.66</v>
      </c>
    </row>
    <row r="816" spans="1:6" x14ac:dyDescent="0.3">
      <c r="A816">
        <v>532868</v>
      </c>
      <c r="B816" s="2">
        <v>41334</v>
      </c>
      <c r="C816">
        <v>24801</v>
      </c>
      <c r="D816">
        <v>25066</v>
      </c>
      <c r="E816">
        <v>-265</v>
      </c>
      <c r="F816">
        <v>-1.06</v>
      </c>
    </row>
    <row r="817" spans="1:6" x14ac:dyDescent="0.3">
      <c r="A817">
        <v>532868</v>
      </c>
      <c r="B817" s="2">
        <v>41699</v>
      </c>
      <c r="C817">
        <v>22334</v>
      </c>
      <c r="D817">
        <v>24801</v>
      </c>
      <c r="E817">
        <v>-2467</v>
      </c>
      <c r="F817">
        <v>-9.9499999999999993</v>
      </c>
    </row>
    <row r="818" spans="1:6" x14ac:dyDescent="0.3">
      <c r="A818">
        <v>532868</v>
      </c>
      <c r="B818" s="2">
        <v>42064</v>
      </c>
      <c r="C818">
        <v>24495</v>
      </c>
      <c r="D818">
        <v>22334</v>
      </c>
      <c r="E818">
        <v>2161</v>
      </c>
      <c r="F818">
        <v>9.68</v>
      </c>
    </row>
    <row r="819" spans="1:6" x14ac:dyDescent="0.3">
      <c r="A819">
        <v>532868</v>
      </c>
      <c r="B819" s="2">
        <v>42430</v>
      </c>
      <c r="C819">
        <v>25264</v>
      </c>
      <c r="D819">
        <v>24495</v>
      </c>
      <c r="E819">
        <v>769</v>
      </c>
      <c r="F819">
        <v>3.14</v>
      </c>
    </row>
    <row r="820" spans="1:6" x14ac:dyDescent="0.3">
      <c r="A820">
        <v>532868</v>
      </c>
      <c r="B820" s="2">
        <v>42795</v>
      </c>
      <c r="C820">
        <v>29202</v>
      </c>
      <c r="D820">
        <v>25264</v>
      </c>
      <c r="E820">
        <v>3938</v>
      </c>
      <c r="F820">
        <v>15.59</v>
      </c>
    </row>
    <row r="821" spans="1:6" x14ac:dyDescent="0.3">
      <c r="A821">
        <v>532868</v>
      </c>
      <c r="B821" s="2">
        <v>43160</v>
      </c>
      <c r="C821">
        <v>17491</v>
      </c>
      <c r="D821">
        <v>29202</v>
      </c>
      <c r="E821">
        <v>-11711</v>
      </c>
      <c r="F821">
        <v>-40.1</v>
      </c>
    </row>
    <row r="822" spans="1:6" x14ac:dyDescent="0.3">
      <c r="A822">
        <v>532868</v>
      </c>
      <c r="B822" s="2">
        <v>43525</v>
      </c>
      <c r="C822">
        <v>17222</v>
      </c>
      <c r="D822">
        <v>17491</v>
      </c>
      <c r="E822">
        <v>-269</v>
      </c>
      <c r="F822">
        <v>-1.54</v>
      </c>
    </row>
    <row r="823" spans="1:6" x14ac:dyDescent="0.3">
      <c r="A823">
        <v>532868</v>
      </c>
      <c r="B823" s="2">
        <v>43891</v>
      </c>
      <c r="C823">
        <v>8103</v>
      </c>
      <c r="D823">
        <v>17222</v>
      </c>
      <c r="E823">
        <v>-9119</v>
      </c>
      <c r="F823">
        <v>-52.95</v>
      </c>
    </row>
    <row r="824" spans="1:6" x14ac:dyDescent="0.3">
      <c r="A824">
        <v>532868</v>
      </c>
      <c r="B824" s="2">
        <v>44256</v>
      </c>
      <c r="C824">
        <v>6785</v>
      </c>
      <c r="D824">
        <v>8103</v>
      </c>
      <c r="E824">
        <v>-1318</v>
      </c>
      <c r="F824">
        <v>-16.27</v>
      </c>
    </row>
    <row r="825" spans="1:6" x14ac:dyDescent="0.3">
      <c r="A825">
        <v>532868</v>
      </c>
      <c r="B825" s="2">
        <v>44621</v>
      </c>
      <c r="C825">
        <v>4182</v>
      </c>
      <c r="D825">
        <v>6785</v>
      </c>
      <c r="E825">
        <v>-2603</v>
      </c>
      <c r="F825">
        <v>-38.36</v>
      </c>
    </row>
    <row r="826" spans="1:6" x14ac:dyDescent="0.3">
      <c r="A826">
        <v>532868</v>
      </c>
      <c r="B826" s="2">
        <v>44986</v>
      </c>
      <c r="C826">
        <v>3334</v>
      </c>
      <c r="D826">
        <v>4182</v>
      </c>
      <c r="E826">
        <v>-848</v>
      </c>
      <c r="F826">
        <v>-20.28</v>
      </c>
    </row>
    <row r="827" spans="1:6" x14ac:dyDescent="0.3">
      <c r="A827">
        <v>532898</v>
      </c>
      <c r="B827" s="2">
        <v>41334</v>
      </c>
      <c r="C827">
        <v>69233</v>
      </c>
      <c r="D827">
        <v>54355</v>
      </c>
      <c r="E827">
        <v>14878</v>
      </c>
      <c r="F827">
        <v>27.37</v>
      </c>
    </row>
    <row r="828" spans="1:6" x14ac:dyDescent="0.3">
      <c r="A828">
        <v>532898</v>
      </c>
      <c r="B828" s="2">
        <v>41699</v>
      </c>
      <c r="C828">
        <v>84220</v>
      </c>
      <c r="D828">
        <v>69233</v>
      </c>
      <c r="E828">
        <v>14987</v>
      </c>
      <c r="F828">
        <v>21.65</v>
      </c>
    </row>
    <row r="829" spans="1:6" x14ac:dyDescent="0.3">
      <c r="A829">
        <v>532898</v>
      </c>
      <c r="B829" s="2">
        <v>42064</v>
      </c>
      <c r="C829">
        <v>96243</v>
      </c>
      <c r="D829">
        <v>84220</v>
      </c>
      <c r="E829">
        <v>12023</v>
      </c>
      <c r="F829">
        <v>14.28</v>
      </c>
    </row>
    <row r="830" spans="1:6" x14ac:dyDescent="0.3">
      <c r="A830">
        <v>532898</v>
      </c>
      <c r="B830" s="2">
        <v>42430</v>
      </c>
      <c r="C830">
        <v>108545</v>
      </c>
      <c r="D830">
        <v>96243</v>
      </c>
      <c r="E830">
        <v>12302</v>
      </c>
      <c r="F830">
        <v>12.78</v>
      </c>
    </row>
    <row r="831" spans="1:6" x14ac:dyDescent="0.3">
      <c r="A831">
        <v>532898</v>
      </c>
      <c r="B831" s="2">
        <v>42795</v>
      </c>
      <c r="C831">
        <v>118988</v>
      </c>
      <c r="D831">
        <v>108545</v>
      </c>
      <c r="E831">
        <v>10443</v>
      </c>
      <c r="F831">
        <v>9.6199999999999992</v>
      </c>
    </row>
    <row r="832" spans="1:6" x14ac:dyDescent="0.3">
      <c r="A832">
        <v>532898</v>
      </c>
      <c r="B832" s="2">
        <v>43160</v>
      </c>
      <c r="C832">
        <v>131503</v>
      </c>
      <c r="D832">
        <v>118988</v>
      </c>
      <c r="E832">
        <v>12515</v>
      </c>
      <c r="F832">
        <v>10.52</v>
      </c>
    </row>
    <row r="833" spans="1:6" x14ac:dyDescent="0.3">
      <c r="A833">
        <v>532898</v>
      </c>
      <c r="B833" s="2">
        <v>43525</v>
      </c>
      <c r="C833">
        <v>146376</v>
      </c>
      <c r="D833">
        <v>131503</v>
      </c>
      <c r="E833">
        <v>14873</v>
      </c>
      <c r="F833">
        <v>11.31</v>
      </c>
    </row>
    <row r="834" spans="1:6" x14ac:dyDescent="0.3">
      <c r="A834">
        <v>532898</v>
      </c>
      <c r="B834" s="2">
        <v>43891</v>
      </c>
      <c r="C834">
        <v>148270</v>
      </c>
      <c r="D834">
        <v>146376</v>
      </c>
      <c r="E834">
        <v>1894</v>
      </c>
      <c r="F834">
        <v>1.29</v>
      </c>
    </row>
    <row r="835" spans="1:6" x14ac:dyDescent="0.3">
      <c r="A835">
        <v>532898</v>
      </c>
      <c r="B835" s="2">
        <v>44256</v>
      </c>
      <c r="C835">
        <v>143232</v>
      </c>
      <c r="D835">
        <v>148270</v>
      </c>
      <c r="E835">
        <v>-5038</v>
      </c>
      <c r="F835">
        <v>-3.4</v>
      </c>
    </row>
    <row r="836" spans="1:6" x14ac:dyDescent="0.3">
      <c r="A836">
        <v>532898</v>
      </c>
      <c r="B836" s="2">
        <v>44621</v>
      </c>
      <c r="C836">
        <v>134696</v>
      </c>
      <c r="D836">
        <v>143232</v>
      </c>
      <c r="E836">
        <v>-8536</v>
      </c>
      <c r="F836">
        <v>-5.96</v>
      </c>
    </row>
    <row r="837" spans="1:6" x14ac:dyDescent="0.3">
      <c r="A837">
        <v>532898</v>
      </c>
      <c r="B837" s="2">
        <v>44986</v>
      </c>
      <c r="C837">
        <v>126661</v>
      </c>
      <c r="D837">
        <v>134696</v>
      </c>
      <c r="E837">
        <v>-8035</v>
      </c>
      <c r="F837">
        <v>-5.97</v>
      </c>
    </row>
    <row r="838" spans="1:6" x14ac:dyDescent="0.3">
      <c r="A838">
        <v>532921</v>
      </c>
      <c r="B838" s="2">
        <v>40969</v>
      </c>
      <c r="C838">
        <v>17565</v>
      </c>
      <c r="D838">
        <v>3592</v>
      </c>
      <c r="E838">
        <v>13973</v>
      </c>
      <c r="F838">
        <v>389</v>
      </c>
    </row>
    <row r="839" spans="1:6" x14ac:dyDescent="0.3">
      <c r="A839">
        <v>532921</v>
      </c>
      <c r="B839" s="2">
        <v>41334</v>
      </c>
      <c r="C839">
        <v>11617</v>
      </c>
      <c r="D839">
        <v>17565</v>
      </c>
      <c r="E839">
        <v>-5948</v>
      </c>
      <c r="F839">
        <v>-33.86</v>
      </c>
    </row>
    <row r="840" spans="1:6" x14ac:dyDescent="0.3">
      <c r="A840">
        <v>532921</v>
      </c>
      <c r="B840" s="2">
        <v>41699</v>
      </c>
      <c r="C840">
        <v>12976</v>
      </c>
      <c r="D840">
        <v>11617</v>
      </c>
      <c r="E840">
        <v>1359</v>
      </c>
      <c r="F840">
        <v>11.7</v>
      </c>
    </row>
    <row r="841" spans="1:6" x14ac:dyDescent="0.3">
      <c r="A841">
        <v>532921</v>
      </c>
      <c r="B841" s="2">
        <v>42064</v>
      </c>
      <c r="C841">
        <v>17773</v>
      </c>
      <c r="D841">
        <v>12976</v>
      </c>
      <c r="E841">
        <v>4797</v>
      </c>
      <c r="F841">
        <v>36.97</v>
      </c>
    </row>
    <row r="842" spans="1:6" x14ac:dyDescent="0.3">
      <c r="A842">
        <v>532921</v>
      </c>
      <c r="B842" s="2">
        <v>42430</v>
      </c>
      <c r="C842">
        <v>22342</v>
      </c>
      <c r="D842">
        <v>17773</v>
      </c>
      <c r="E842">
        <v>4569</v>
      </c>
      <c r="F842">
        <v>25.71</v>
      </c>
    </row>
    <row r="843" spans="1:6" x14ac:dyDescent="0.3">
      <c r="A843">
        <v>532921</v>
      </c>
      <c r="B843" s="2">
        <v>42795</v>
      </c>
      <c r="C843">
        <v>22214</v>
      </c>
      <c r="D843">
        <v>22342</v>
      </c>
      <c r="E843">
        <v>-128</v>
      </c>
      <c r="F843">
        <v>-0.56999999999999995</v>
      </c>
    </row>
    <row r="844" spans="1:6" x14ac:dyDescent="0.3">
      <c r="A844">
        <v>532921</v>
      </c>
      <c r="B844" s="2">
        <v>43160</v>
      </c>
      <c r="C844">
        <v>22112</v>
      </c>
      <c r="D844">
        <v>22214</v>
      </c>
      <c r="E844">
        <v>-102</v>
      </c>
      <c r="F844">
        <v>-0.46</v>
      </c>
    </row>
    <row r="845" spans="1:6" x14ac:dyDescent="0.3">
      <c r="A845">
        <v>532921</v>
      </c>
      <c r="B845" s="2">
        <v>43525</v>
      </c>
      <c r="C845">
        <v>27446</v>
      </c>
      <c r="D845">
        <v>22112</v>
      </c>
      <c r="E845">
        <v>5334</v>
      </c>
      <c r="F845">
        <v>24.12</v>
      </c>
    </row>
    <row r="846" spans="1:6" x14ac:dyDescent="0.3">
      <c r="A846">
        <v>532921</v>
      </c>
      <c r="B846" s="2">
        <v>43891</v>
      </c>
      <c r="C846">
        <v>29979</v>
      </c>
      <c r="D846">
        <v>27446</v>
      </c>
      <c r="E846">
        <v>2533</v>
      </c>
      <c r="F846">
        <v>9.23</v>
      </c>
    </row>
    <row r="847" spans="1:6" x14ac:dyDescent="0.3">
      <c r="A847">
        <v>532921</v>
      </c>
      <c r="B847" s="2">
        <v>44256</v>
      </c>
      <c r="C847">
        <v>35583</v>
      </c>
      <c r="D847">
        <v>29979</v>
      </c>
      <c r="E847">
        <v>5604</v>
      </c>
      <c r="F847">
        <v>18.690000000000001</v>
      </c>
    </row>
    <row r="848" spans="1:6" x14ac:dyDescent="0.3">
      <c r="A848">
        <v>532921</v>
      </c>
      <c r="B848" s="2">
        <v>44621</v>
      </c>
      <c r="C848">
        <v>47619</v>
      </c>
      <c r="D848">
        <v>35583</v>
      </c>
      <c r="E848">
        <v>12036</v>
      </c>
      <c r="F848">
        <v>33.83</v>
      </c>
    </row>
    <row r="849" spans="1:6" x14ac:dyDescent="0.3">
      <c r="A849">
        <v>532921</v>
      </c>
      <c r="B849" s="2">
        <v>44805</v>
      </c>
      <c r="C849">
        <v>45299</v>
      </c>
      <c r="D849">
        <v>47619</v>
      </c>
      <c r="E849">
        <v>-2320</v>
      </c>
      <c r="F849">
        <v>-4.87</v>
      </c>
    </row>
    <row r="850" spans="1:6" x14ac:dyDescent="0.3">
      <c r="A850">
        <v>532977</v>
      </c>
      <c r="B850" s="2">
        <v>41334</v>
      </c>
      <c r="C850">
        <v>116</v>
      </c>
      <c r="D850">
        <v>150</v>
      </c>
      <c r="E850">
        <v>-34</v>
      </c>
      <c r="F850">
        <v>-22.67</v>
      </c>
    </row>
    <row r="851" spans="1:6" x14ac:dyDescent="0.3">
      <c r="A851">
        <v>532977</v>
      </c>
      <c r="B851" s="2">
        <v>41699</v>
      </c>
      <c r="C851">
        <v>59</v>
      </c>
      <c r="D851">
        <v>116</v>
      </c>
      <c r="E851">
        <v>-57</v>
      </c>
      <c r="F851">
        <v>-49.14</v>
      </c>
    </row>
    <row r="852" spans="1:6" x14ac:dyDescent="0.3">
      <c r="A852">
        <v>532977</v>
      </c>
      <c r="B852" s="2">
        <v>42064</v>
      </c>
      <c r="C852">
        <v>112</v>
      </c>
      <c r="D852">
        <v>59</v>
      </c>
      <c r="E852">
        <v>53</v>
      </c>
      <c r="F852">
        <v>89.83</v>
      </c>
    </row>
    <row r="853" spans="1:6" x14ac:dyDescent="0.3">
      <c r="A853">
        <v>532977</v>
      </c>
      <c r="B853" s="2">
        <v>42430</v>
      </c>
      <c r="C853">
        <v>118</v>
      </c>
      <c r="D853">
        <v>112</v>
      </c>
      <c r="E853">
        <v>6</v>
      </c>
      <c r="F853">
        <v>5.36</v>
      </c>
    </row>
    <row r="854" spans="1:6" x14ac:dyDescent="0.3">
      <c r="A854">
        <v>532977</v>
      </c>
      <c r="B854" s="2">
        <v>42795</v>
      </c>
      <c r="C854">
        <v>120</v>
      </c>
      <c r="D854">
        <v>118</v>
      </c>
      <c r="E854">
        <v>2</v>
      </c>
      <c r="F854">
        <v>1.69</v>
      </c>
    </row>
    <row r="855" spans="1:6" x14ac:dyDescent="0.3">
      <c r="A855">
        <v>532977</v>
      </c>
      <c r="B855" s="2">
        <v>43160</v>
      </c>
      <c r="C855">
        <v>121</v>
      </c>
      <c r="D855">
        <v>120</v>
      </c>
      <c r="E855">
        <v>1</v>
      </c>
      <c r="F855">
        <v>0.83</v>
      </c>
    </row>
    <row r="856" spans="1:6" x14ac:dyDescent="0.3">
      <c r="A856">
        <v>532977</v>
      </c>
      <c r="B856" s="2">
        <v>43525</v>
      </c>
      <c r="C856">
        <v>125</v>
      </c>
      <c r="D856">
        <v>121</v>
      </c>
      <c r="E856">
        <v>4</v>
      </c>
      <c r="F856">
        <v>3.31</v>
      </c>
    </row>
    <row r="857" spans="1:6" x14ac:dyDescent="0.3">
      <c r="A857">
        <v>532977</v>
      </c>
      <c r="B857" s="2">
        <v>43891</v>
      </c>
      <c r="C857">
        <v>126</v>
      </c>
      <c r="D857">
        <v>125</v>
      </c>
      <c r="E857">
        <v>1</v>
      </c>
      <c r="F857">
        <v>0.8</v>
      </c>
    </row>
    <row r="858" spans="1:6" x14ac:dyDescent="0.3">
      <c r="A858">
        <v>532977</v>
      </c>
      <c r="B858" s="2">
        <v>44256</v>
      </c>
      <c r="C858">
        <v>121</v>
      </c>
      <c r="D858">
        <v>126</v>
      </c>
      <c r="E858">
        <v>-5</v>
      </c>
      <c r="F858">
        <v>-3.97</v>
      </c>
    </row>
    <row r="859" spans="1:6" x14ac:dyDescent="0.3">
      <c r="A859">
        <v>532977</v>
      </c>
      <c r="B859" s="2">
        <v>44621</v>
      </c>
      <c r="C859">
        <v>123</v>
      </c>
      <c r="D859">
        <v>121</v>
      </c>
      <c r="E859">
        <v>2</v>
      </c>
      <c r="F859">
        <v>1.65</v>
      </c>
    </row>
    <row r="860" spans="1:6" x14ac:dyDescent="0.3">
      <c r="A860">
        <v>532977</v>
      </c>
      <c r="B860" s="2">
        <v>44986</v>
      </c>
      <c r="C860">
        <v>124</v>
      </c>
      <c r="D860">
        <v>123</v>
      </c>
      <c r="E860">
        <v>1</v>
      </c>
      <c r="F860">
        <v>0.81</v>
      </c>
    </row>
    <row r="861" spans="1:6" x14ac:dyDescent="0.3">
      <c r="A861">
        <v>532978</v>
      </c>
      <c r="B861" s="2">
        <v>41334</v>
      </c>
      <c r="C861">
        <v>12991</v>
      </c>
      <c r="D861">
        <v>10201</v>
      </c>
      <c r="E861">
        <v>2790</v>
      </c>
      <c r="F861">
        <v>27.35</v>
      </c>
    </row>
    <row r="862" spans="1:6" x14ac:dyDescent="0.3">
      <c r="A862">
        <v>532978</v>
      </c>
      <c r="B862" s="2">
        <v>41699</v>
      </c>
      <c r="C862">
        <v>19507</v>
      </c>
      <c r="D862">
        <v>12991</v>
      </c>
      <c r="E862">
        <v>6516</v>
      </c>
      <c r="F862">
        <v>50.16</v>
      </c>
    </row>
    <row r="863" spans="1:6" x14ac:dyDescent="0.3">
      <c r="A863">
        <v>532978</v>
      </c>
      <c r="B863" s="2">
        <v>42064</v>
      </c>
      <c r="C863">
        <v>26312</v>
      </c>
      <c r="D863">
        <v>19507</v>
      </c>
      <c r="E863">
        <v>6805</v>
      </c>
      <c r="F863">
        <v>34.880000000000003</v>
      </c>
    </row>
    <row r="864" spans="1:6" x14ac:dyDescent="0.3">
      <c r="A864">
        <v>532978</v>
      </c>
      <c r="B864" s="2">
        <v>42430</v>
      </c>
      <c r="C864">
        <v>36062</v>
      </c>
      <c r="D864">
        <v>26312</v>
      </c>
      <c r="E864">
        <v>9750</v>
      </c>
      <c r="F864">
        <v>37.06</v>
      </c>
    </row>
    <row r="865" spans="1:6" x14ac:dyDescent="0.3">
      <c r="A865">
        <v>532978</v>
      </c>
      <c r="B865" s="2">
        <v>42795</v>
      </c>
      <c r="C865">
        <v>48282</v>
      </c>
      <c r="D865">
        <v>36062</v>
      </c>
      <c r="E865">
        <v>12220</v>
      </c>
      <c r="F865">
        <v>33.89</v>
      </c>
    </row>
    <row r="866" spans="1:6" x14ac:dyDescent="0.3">
      <c r="A866">
        <v>532978</v>
      </c>
      <c r="B866" s="2">
        <v>43160</v>
      </c>
      <c r="C866">
        <v>65695</v>
      </c>
      <c r="D866">
        <v>48282</v>
      </c>
      <c r="E866">
        <v>17413</v>
      </c>
      <c r="F866">
        <v>36.07</v>
      </c>
    </row>
    <row r="867" spans="1:6" x14ac:dyDescent="0.3">
      <c r="A867">
        <v>532978</v>
      </c>
      <c r="B867" s="2">
        <v>43525</v>
      </c>
      <c r="C867">
        <v>99754</v>
      </c>
      <c r="D867">
        <v>65695</v>
      </c>
      <c r="E867">
        <v>34059</v>
      </c>
      <c r="F867">
        <v>51.84</v>
      </c>
    </row>
    <row r="868" spans="1:6" x14ac:dyDescent="0.3">
      <c r="A868">
        <v>532978</v>
      </c>
      <c r="B868" s="2">
        <v>43891</v>
      </c>
      <c r="C868">
        <v>127212</v>
      </c>
      <c r="D868">
        <v>99754</v>
      </c>
      <c r="E868">
        <v>27458</v>
      </c>
      <c r="F868">
        <v>27.53</v>
      </c>
    </row>
    <row r="869" spans="1:6" x14ac:dyDescent="0.3">
      <c r="A869">
        <v>532978</v>
      </c>
      <c r="B869" s="2">
        <v>44256</v>
      </c>
      <c r="C869">
        <v>128461</v>
      </c>
      <c r="D869">
        <v>127212</v>
      </c>
      <c r="E869">
        <v>1249</v>
      </c>
      <c r="F869">
        <v>0.98</v>
      </c>
    </row>
    <row r="870" spans="1:6" x14ac:dyDescent="0.3">
      <c r="A870">
        <v>532978</v>
      </c>
      <c r="B870" s="2">
        <v>44621</v>
      </c>
      <c r="C870">
        <v>161179</v>
      </c>
      <c r="D870">
        <v>128461</v>
      </c>
      <c r="E870">
        <v>32718</v>
      </c>
      <c r="F870">
        <v>25.47</v>
      </c>
    </row>
    <row r="871" spans="1:6" x14ac:dyDescent="0.3">
      <c r="A871">
        <v>532978</v>
      </c>
      <c r="B871" s="2">
        <v>44986</v>
      </c>
      <c r="C871">
        <v>212265</v>
      </c>
      <c r="D871">
        <v>161179</v>
      </c>
      <c r="E871">
        <v>51086</v>
      </c>
      <c r="F871">
        <v>31.7</v>
      </c>
    </row>
    <row r="872" spans="1:6" x14ac:dyDescent="0.3">
      <c r="A872">
        <v>533096</v>
      </c>
      <c r="B872" s="2">
        <v>41334</v>
      </c>
      <c r="C872">
        <v>41795</v>
      </c>
      <c r="D872">
        <v>38600</v>
      </c>
      <c r="E872">
        <v>3195</v>
      </c>
      <c r="F872">
        <v>8.2799999999999994</v>
      </c>
    </row>
    <row r="873" spans="1:6" x14ac:dyDescent="0.3">
      <c r="A873">
        <v>533096</v>
      </c>
      <c r="B873" s="2">
        <v>41699</v>
      </c>
      <c r="C873">
        <v>44150</v>
      </c>
      <c r="D873">
        <v>41795</v>
      </c>
      <c r="E873">
        <v>2355</v>
      </c>
      <c r="F873">
        <v>5.63</v>
      </c>
    </row>
    <row r="874" spans="1:6" x14ac:dyDescent="0.3">
      <c r="A874">
        <v>533096</v>
      </c>
      <c r="B874" s="2">
        <v>42064</v>
      </c>
      <c r="C874">
        <v>44742</v>
      </c>
      <c r="D874">
        <v>44150</v>
      </c>
      <c r="E874">
        <v>592</v>
      </c>
      <c r="F874">
        <v>1.34</v>
      </c>
    </row>
    <row r="875" spans="1:6" x14ac:dyDescent="0.3">
      <c r="A875">
        <v>533096</v>
      </c>
      <c r="B875" s="2">
        <v>42430</v>
      </c>
      <c r="C875">
        <v>52729</v>
      </c>
      <c r="D875">
        <v>44742</v>
      </c>
      <c r="E875">
        <v>7987</v>
      </c>
      <c r="F875">
        <v>17.850000000000001</v>
      </c>
    </row>
    <row r="876" spans="1:6" x14ac:dyDescent="0.3">
      <c r="A876">
        <v>533096</v>
      </c>
      <c r="B876" s="2">
        <v>42795</v>
      </c>
      <c r="C876">
        <v>52484</v>
      </c>
      <c r="D876">
        <v>52729</v>
      </c>
      <c r="E876">
        <v>-245</v>
      </c>
      <c r="F876">
        <v>-0.46</v>
      </c>
    </row>
    <row r="877" spans="1:6" x14ac:dyDescent="0.3">
      <c r="A877">
        <v>533096</v>
      </c>
      <c r="B877" s="2">
        <v>43160</v>
      </c>
      <c r="C877">
        <v>52835</v>
      </c>
      <c r="D877">
        <v>52484</v>
      </c>
      <c r="E877">
        <v>351</v>
      </c>
      <c r="F877">
        <v>0.67</v>
      </c>
    </row>
    <row r="878" spans="1:6" x14ac:dyDescent="0.3">
      <c r="A878">
        <v>533096</v>
      </c>
      <c r="B878" s="2">
        <v>43525</v>
      </c>
      <c r="C878">
        <v>46980</v>
      </c>
      <c r="D878">
        <v>52835</v>
      </c>
      <c r="E878">
        <v>-5855</v>
      </c>
      <c r="F878">
        <v>-11.08</v>
      </c>
    </row>
    <row r="879" spans="1:6" x14ac:dyDescent="0.3">
      <c r="A879">
        <v>533096</v>
      </c>
      <c r="B879" s="2">
        <v>43891</v>
      </c>
      <c r="C879">
        <v>55123</v>
      </c>
      <c r="D879">
        <v>46980</v>
      </c>
      <c r="E879">
        <v>8143</v>
      </c>
      <c r="F879">
        <v>17.329999999999998</v>
      </c>
    </row>
    <row r="880" spans="1:6" x14ac:dyDescent="0.3">
      <c r="A880">
        <v>533096</v>
      </c>
      <c r="B880" s="2">
        <v>44256</v>
      </c>
      <c r="C880">
        <v>52430</v>
      </c>
      <c r="D880">
        <v>55123</v>
      </c>
      <c r="E880">
        <v>-2693</v>
      </c>
      <c r="F880">
        <v>-4.8899999999999997</v>
      </c>
    </row>
    <row r="881" spans="1:6" x14ac:dyDescent="0.3">
      <c r="A881">
        <v>533096</v>
      </c>
      <c r="B881" s="2">
        <v>44621</v>
      </c>
      <c r="C881">
        <v>48744</v>
      </c>
      <c r="D881">
        <v>52430</v>
      </c>
      <c r="E881">
        <v>-3686</v>
      </c>
      <c r="F881">
        <v>-7.03</v>
      </c>
    </row>
    <row r="882" spans="1:6" x14ac:dyDescent="0.3">
      <c r="A882">
        <v>533096</v>
      </c>
      <c r="B882" s="2">
        <v>44986</v>
      </c>
      <c r="C882">
        <v>42350</v>
      </c>
      <c r="D882">
        <v>48744</v>
      </c>
      <c r="E882">
        <v>-6394</v>
      </c>
      <c r="F882">
        <v>-13.12</v>
      </c>
    </row>
    <row r="883" spans="1:6" x14ac:dyDescent="0.3">
      <c r="A883">
        <v>533278</v>
      </c>
      <c r="B883" s="2">
        <v>41334</v>
      </c>
      <c r="C883">
        <v>1305</v>
      </c>
      <c r="D883">
        <v>1527</v>
      </c>
      <c r="E883">
        <v>-222</v>
      </c>
      <c r="F883">
        <v>-14.54</v>
      </c>
    </row>
    <row r="884" spans="1:6" x14ac:dyDescent="0.3">
      <c r="A884">
        <v>533278</v>
      </c>
      <c r="B884" s="2">
        <v>41699</v>
      </c>
      <c r="C884">
        <v>178</v>
      </c>
      <c r="D884">
        <v>1305</v>
      </c>
      <c r="E884">
        <v>-1127</v>
      </c>
      <c r="F884">
        <v>-86.36</v>
      </c>
    </row>
    <row r="885" spans="1:6" x14ac:dyDescent="0.3">
      <c r="A885">
        <v>533278</v>
      </c>
      <c r="B885" s="2">
        <v>42064</v>
      </c>
      <c r="C885">
        <v>408</v>
      </c>
      <c r="D885">
        <v>178</v>
      </c>
      <c r="E885">
        <v>230</v>
      </c>
      <c r="F885">
        <v>129.21</v>
      </c>
    </row>
    <row r="886" spans="1:6" x14ac:dyDescent="0.3">
      <c r="A886">
        <v>533278</v>
      </c>
      <c r="B886" s="2">
        <v>42430</v>
      </c>
      <c r="C886">
        <v>1199</v>
      </c>
      <c r="D886">
        <v>408</v>
      </c>
      <c r="E886">
        <v>791</v>
      </c>
      <c r="F886">
        <v>193.87</v>
      </c>
    </row>
    <row r="887" spans="1:6" x14ac:dyDescent="0.3">
      <c r="A887">
        <v>533278</v>
      </c>
      <c r="B887" s="2">
        <v>42795</v>
      </c>
      <c r="C887">
        <v>3014</v>
      </c>
      <c r="D887">
        <v>1199</v>
      </c>
      <c r="E887">
        <v>1815</v>
      </c>
      <c r="F887">
        <v>151.38</v>
      </c>
    </row>
    <row r="888" spans="1:6" x14ac:dyDescent="0.3">
      <c r="A888">
        <v>533278</v>
      </c>
      <c r="B888" s="2">
        <v>43160</v>
      </c>
      <c r="C888">
        <v>1538</v>
      </c>
      <c r="D888">
        <v>3014</v>
      </c>
      <c r="E888">
        <v>-1476</v>
      </c>
      <c r="F888">
        <v>-48.97</v>
      </c>
    </row>
    <row r="889" spans="1:6" x14ac:dyDescent="0.3">
      <c r="A889">
        <v>533278</v>
      </c>
      <c r="B889" s="2">
        <v>43525</v>
      </c>
      <c r="C889">
        <v>2210</v>
      </c>
      <c r="D889">
        <v>1538</v>
      </c>
      <c r="E889">
        <v>672</v>
      </c>
      <c r="F889">
        <v>43.69</v>
      </c>
    </row>
    <row r="890" spans="1:6" x14ac:dyDescent="0.3">
      <c r="A890">
        <v>533278</v>
      </c>
      <c r="B890" s="2">
        <v>43891</v>
      </c>
      <c r="C890">
        <v>6434</v>
      </c>
      <c r="D890">
        <v>2210</v>
      </c>
      <c r="E890">
        <v>4224</v>
      </c>
      <c r="F890">
        <v>191.13</v>
      </c>
    </row>
    <row r="891" spans="1:6" x14ac:dyDescent="0.3">
      <c r="A891">
        <v>533278</v>
      </c>
      <c r="B891" s="2">
        <v>44256</v>
      </c>
      <c r="C891">
        <v>5884</v>
      </c>
      <c r="D891">
        <v>6434</v>
      </c>
      <c r="E891">
        <v>-550</v>
      </c>
      <c r="F891">
        <v>-8.5500000000000007</v>
      </c>
    </row>
    <row r="892" spans="1:6" x14ac:dyDescent="0.3">
      <c r="A892">
        <v>533278</v>
      </c>
      <c r="B892" s="2">
        <v>44621</v>
      </c>
      <c r="C892">
        <v>3514</v>
      </c>
      <c r="D892">
        <v>5884</v>
      </c>
      <c r="E892">
        <v>-2370</v>
      </c>
      <c r="F892">
        <v>-40.28</v>
      </c>
    </row>
    <row r="893" spans="1:6" x14ac:dyDescent="0.3">
      <c r="A893">
        <v>533278</v>
      </c>
      <c r="B893" s="2">
        <v>44986</v>
      </c>
      <c r="C893">
        <v>4331</v>
      </c>
      <c r="D893">
        <v>3514</v>
      </c>
      <c r="E893">
        <v>817</v>
      </c>
      <c r="F893">
        <v>23.25</v>
      </c>
    </row>
    <row r="894" spans="1:6" x14ac:dyDescent="0.3">
      <c r="A894">
        <v>539254</v>
      </c>
      <c r="B894" s="2">
        <v>42064</v>
      </c>
      <c r="C894">
        <v>9701</v>
      </c>
      <c r="D894">
        <v>0</v>
      </c>
      <c r="E894">
        <v>9701</v>
      </c>
      <c r="F894" t="s">
        <v>8</v>
      </c>
    </row>
    <row r="895" spans="1:6" x14ac:dyDescent="0.3">
      <c r="A895">
        <v>539254</v>
      </c>
      <c r="B895" s="2">
        <v>42430</v>
      </c>
      <c r="C895">
        <v>8585</v>
      </c>
      <c r="D895">
        <v>9701</v>
      </c>
      <c r="E895">
        <v>-1116</v>
      </c>
      <c r="F895">
        <v>-11.5</v>
      </c>
    </row>
    <row r="896" spans="1:6" x14ac:dyDescent="0.3">
      <c r="A896">
        <v>539254</v>
      </c>
      <c r="B896" s="2">
        <v>42795</v>
      </c>
      <c r="C896">
        <v>8975</v>
      </c>
      <c r="D896">
        <v>8585</v>
      </c>
      <c r="E896">
        <v>390</v>
      </c>
      <c r="F896">
        <v>4.54</v>
      </c>
    </row>
    <row r="897" spans="1:6" x14ac:dyDescent="0.3">
      <c r="A897">
        <v>539254</v>
      </c>
      <c r="B897" s="2">
        <v>43160</v>
      </c>
      <c r="C897">
        <v>10428</v>
      </c>
      <c r="D897">
        <v>8975</v>
      </c>
      <c r="E897">
        <v>1453</v>
      </c>
      <c r="F897">
        <v>16.190000000000001</v>
      </c>
    </row>
    <row r="898" spans="1:6" x14ac:dyDescent="0.3">
      <c r="A898">
        <v>539254</v>
      </c>
      <c r="B898" s="2">
        <v>43525</v>
      </c>
      <c r="C898">
        <v>20137</v>
      </c>
      <c r="D898">
        <v>10428</v>
      </c>
      <c r="E898">
        <v>9709</v>
      </c>
      <c r="F898">
        <v>93.11</v>
      </c>
    </row>
    <row r="899" spans="1:6" x14ac:dyDescent="0.3">
      <c r="A899">
        <v>539254</v>
      </c>
      <c r="B899" s="2">
        <v>43891</v>
      </c>
      <c r="C899">
        <v>24246</v>
      </c>
      <c r="D899">
        <v>20137</v>
      </c>
      <c r="E899">
        <v>4109</v>
      </c>
      <c r="F899">
        <v>20.41</v>
      </c>
    </row>
    <row r="900" spans="1:6" x14ac:dyDescent="0.3">
      <c r="A900">
        <v>539254</v>
      </c>
      <c r="B900" s="2">
        <v>44256</v>
      </c>
      <c r="C900">
        <v>27095</v>
      </c>
      <c r="D900">
        <v>24246</v>
      </c>
      <c r="E900">
        <v>2849</v>
      </c>
      <c r="F900">
        <v>11.75</v>
      </c>
    </row>
    <row r="901" spans="1:6" x14ac:dyDescent="0.3">
      <c r="A901">
        <v>539254</v>
      </c>
      <c r="B901" s="2">
        <v>44621</v>
      </c>
      <c r="C901">
        <v>29902</v>
      </c>
      <c r="D901">
        <v>27095</v>
      </c>
      <c r="E901">
        <v>2807</v>
      </c>
      <c r="F901">
        <v>10.36</v>
      </c>
    </row>
    <row r="902" spans="1:6" x14ac:dyDescent="0.3">
      <c r="A902">
        <v>539254</v>
      </c>
      <c r="B902" s="2">
        <v>44805</v>
      </c>
      <c r="C902">
        <v>33600</v>
      </c>
      <c r="D902">
        <v>29902</v>
      </c>
      <c r="E902">
        <v>3698</v>
      </c>
      <c r="F902">
        <v>12.37</v>
      </c>
    </row>
    <row r="903" spans="1:6" x14ac:dyDescent="0.3">
      <c r="A903">
        <v>539448</v>
      </c>
      <c r="B903" s="2">
        <v>41334</v>
      </c>
      <c r="C903">
        <v>1800</v>
      </c>
      <c r="D903">
        <v>1016</v>
      </c>
      <c r="E903">
        <v>784</v>
      </c>
      <c r="F903">
        <v>77.17</v>
      </c>
    </row>
    <row r="904" spans="1:6" x14ac:dyDescent="0.3">
      <c r="A904">
        <v>539448</v>
      </c>
      <c r="B904" s="2">
        <v>41699</v>
      </c>
      <c r="C904">
        <v>3346</v>
      </c>
      <c r="D904">
        <v>1800</v>
      </c>
      <c r="E904">
        <v>1546</v>
      </c>
      <c r="F904">
        <v>85.89</v>
      </c>
    </row>
    <row r="905" spans="1:6" x14ac:dyDescent="0.3">
      <c r="A905">
        <v>539448</v>
      </c>
      <c r="B905" s="2">
        <v>42064</v>
      </c>
      <c r="C905">
        <v>3926</v>
      </c>
      <c r="D905">
        <v>3346</v>
      </c>
      <c r="E905">
        <v>580</v>
      </c>
      <c r="F905">
        <v>17.329999999999998</v>
      </c>
    </row>
    <row r="906" spans="1:6" x14ac:dyDescent="0.3">
      <c r="A906">
        <v>539448</v>
      </c>
      <c r="B906" s="2">
        <v>42430</v>
      </c>
      <c r="C906">
        <v>3245</v>
      </c>
      <c r="D906">
        <v>3926</v>
      </c>
      <c r="E906">
        <v>-681</v>
      </c>
      <c r="F906">
        <v>-17.350000000000001</v>
      </c>
    </row>
    <row r="907" spans="1:6" x14ac:dyDescent="0.3">
      <c r="A907">
        <v>539448</v>
      </c>
      <c r="B907" s="2">
        <v>42795</v>
      </c>
      <c r="C907">
        <v>2596</v>
      </c>
      <c r="D907">
        <v>3245</v>
      </c>
      <c r="E907">
        <v>-649</v>
      </c>
      <c r="F907">
        <v>-20</v>
      </c>
    </row>
    <row r="908" spans="1:6" x14ac:dyDescent="0.3">
      <c r="A908">
        <v>539448</v>
      </c>
      <c r="B908" s="2">
        <v>43160</v>
      </c>
      <c r="C908">
        <v>2453</v>
      </c>
      <c r="D908">
        <v>2596</v>
      </c>
      <c r="E908">
        <v>-143</v>
      </c>
      <c r="F908">
        <v>-5.51</v>
      </c>
    </row>
    <row r="909" spans="1:6" x14ac:dyDescent="0.3">
      <c r="A909">
        <v>539448</v>
      </c>
      <c r="B909" s="2">
        <v>43525</v>
      </c>
      <c r="C909">
        <v>2429</v>
      </c>
      <c r="D909">
        <v>2453</v>
      </c>
      <c r="E909">
        <v>-24</v>
      </c>
      <c r="F909">
        <v>-0.98</v>
      </c>
    </row>
    <row r="910" spans="1:6" x14ac:dyDescent="0.3">
      <c r="A910">
        <v>539448</v>
      </c>
      <c r="B910" s="2">
        <v>43891</v>
      </c>
      <c r="C910">
        <v>22719</v>
      </c>
      <c r="D910">
        <v>2429</v>
      </c>
      <c r="E910">
        <v>20290</v>
      </c>
      <c r="F910">
        <v>835.32</v>
      </c>
    </row>
    <row r="911" spans="1:6" x14ac:dyDescent="0.3">
      <c r="A911">
        <v>539448</v>
      </c>
      <c r="B911" s="2">
        <v>44256</v>
      </c>
      <c r="C911">
        <v>29860</v>
      </c>
      <c r="D911">
        <v>22719</v>
      </c>
      <c r="E911">
        <v>7141</v>
      </c>
      <c r="F911">
        <v>31.43</v>
      </c>
    </row>
    <row r="912" spans="1:6" x14ac:dyDescent="0.3">
      <c r="A912">
        <v>539448</v>
      </c>
      <c r="B912" s="2">
        <v>44621</v>
      </c>
      <c r="C912">
        <v>36878</v>
      </c>
      <c r="D912">
        <v>29860</v>
      </c>
      <c r="E912">
        <v>7018</v>
      </c>
      <c r="F912">
        <v>23.5</v>
      </c>
    </row>
    <row r="913" spans="1:6" x14ac:dyDescent="0.3">
      <c r="A913">
        <v>539448</v>
      </c>
      <c r="B913" s="2">
        <v>44986</v>
      </c>
      <c r="C913">
        <v>44854</v>
      </c>
      <c r="D913">
        <v>36878</v>
      </c>
      <c r="E913">
        <v>7976</v>
      </c>
      <c r="F913">
        <v>21.63</v>
      </c>
    </row>
    <row r="914" spans="1:6" x14ac:dyDescent="0.3">
      <c r="A914">
        <v>540005</v>
      </c>
      <c r="B914" s="2">
        <v>41334</v>
      </c>
      <c r="C914">
        <v>234</v>
      </c>
      <c r="D914">
        <v>269</v>
      </c>
      <c r="E914">
        <v>-35</v>
      </c>
      <c r="F914">
        <v>-13.01</v>
      </c>
    </row>
    <row r="915" spans="1:6" x14ac:dyDescent="0.3">
      <c r="A915">
        <v>540005</v>
      </c>
      <c r="B915" s="2">
        <v>41699</v>
      </c>
      <c r="C915">
        <v>110</v>
      </c>
      <c r="D915">
        <v>234</v>
      </c>
      <c r="E915">
        <v>-124</v>
      </c>
      <c r="F915">
        <v>-52.99</v>
      </c>
    </row>
    <row r="916" spans="1:6" x14ac:dyDescent="0.3">
      <c r="A916">
        <v>540005</v>
      </c>
      <c r="B916" s="2">
        <v>42064</v>
      </c>
      <c r="C916">
        <v>218</v>
      </c>
      <c r="D916">
        <v>110</v>
      </c>
      <c r="E916">
        <v>108</v>
      </c>
      <c r="F916">
        <v>98.18</v>
      </c>
    </row>
    <row r="917" spans="1:6" x14ac:dyDescent="0.3">
      <c r="A917">
        <v>540005</v>
      </c>
      <c r="B917" s="2">
        <v>42430</v>
      </c>
      <c r="C917">
        <v>55</v>
      </c>
      <c r="D917">
        <v>218</v>
      </c>
      <c r="E917">
        <v>-163</v>
      </c>
      <c r="F917">
        <v>-74.77</v>
      </c>
    </row>
    <row r="918" spans="1:6" x14ac:dyDescent="0.3">
      <c r="A918">
        <v>540005</v>
      </c>
      <c r="B918" s="2">
        <v>42795</v>
      </c>
      <c r="C918">
        <v>0</v>
      </c>
      <c r="D918">
        <v>55</v>
      </c>
      <c r="E918">
        <v>-55</v>
      </c>
      <c r="F918">
        <v>-100</v>
      </c>
    </row>
    <row r="919" spans="1:6" x14ac:dyDescent="0.3">
      <c r="A919">
        <v>540005</v>
      </c>
      <c r="B919" s="2">
        <v>43160</v>
      </c>
      <c r="C919">
        <v>0</v>
      </c>
      <c r="D919">
        <v>0</v>
      </c>
      <c r="E919">
        <v>0</v>
      </c>
      <c r="F919" t="s">
        <v>8</v>
      </c>
    </row>
    <row r="920" spans="1:6" x14ac:dyDescent="0.3">
      <c r="A920">
        <v>540005</v>
      </c>
      <c r="B920" s="2">
        <v>43525</v>
      </c>
      <c r="C920">
        <v>0</v>
      </c>
      <c r="D920">
        <v>0</v>
      </c>
      <c r="E920">
        <v>0</v>
      </c>
      <c r="F920" t="s">
        <v>8</v>
      </c>
    </row>
    <row r="921" spans="1:6" x14ac:dyDescent="0.3">
      <c r="A921">
        <v>540005</v>
      </c>
      <c r="B921" s="2">
        <v>43891</v>
      </c>
      <c r="C921">
        <v>912</v>
      </c>
      <c r="D921">
        <v>0</v>
      </c>
      <c r="E921">
        <v>912</v>
      </c>
      <c r="F921" t="s">
        <v>8</v>
      </c>
    </row>
    <row r="922" spans="1:6" x14ac:dyDescent="0.3">
      <c r="A922">
        <v>540005</v>
      </c>
      <c r="B922" s="2">
        <v>44256</v>
      </c>
      <c r="C922">
        <v>798</v>
      </c>
      <c r="D922">
        <v>912</v>
      </c>
      <c r="E922">
        <v>-114</v>
      </c>
      <c r="F922">
        <v>-12.5</v>
      </c>
    </row>
    <row r="923" spans="1:6" x14ac:dyDescent="0.3">
      <c r="A923">
        <v>540005</v>
      </c>
      <c r="B923" s="2">
        <v>44621</v>
      </c>
      <c r="C923">
        <v>836</v>
      </c>
      <c r="D923">
        <v>798</v>
      </c>
      <c r="E923">
        <v>38</v>
      </c>
      <c r="F923">
        <v>4.76</v>
      </c>
    </row>
    <row r="924" spans="1:6" x14ac:dyDescent="0.3">
      <c r="A924">
        <v>540005</v>
      </c>
      <c r="B924" s="2">
        <v>44986</v>
      </c>
      <c r="C924">
        <v>1541</v>
      </c>
      <c r="D924">
        <v>836</v>
      </c>
      <c r="E924">
        <v>705</v>
      </c>
      <c r="F924">
        <v>84.33</v>
      </c>
    </row>
    <row r="925" spans="1:6" x14ac:dyDescent="0.3">
      <c r="A925">
        <v>540133</v>
      </c>
      <c r="B925" s="2">
        <v>41334</v>
      </c>
      <c r="C925">
        <v>0</v>
      </c>
      <c r="D925">
        <v>0</v>
      </c>
      <c r="E925">
        <v>0</v>
      </c>
      <c r="F925" t="s">
        <v>8</v>
      </c>
    </row>
    <row r="926" spans="1:6" x14ac:dyDescent="0.3">
      <c r="A926">
        <v>540133</v>
      </c>
      <c r="B926" s="2">
        <v>41699</v>
      </c>
      <c r="C926">
        <v>0</v>
      </c>
      <c r="D926">
        <v>0</v>
      </c>
      <c r="E926">
        <v>0</v>
      </c>
      <c r="F926" t="s">
        <v>8</v>
      </c>
    </row>
    <row r="927" spans="1:6" x14ac:dyDescent="0.3">
      <c r="A927">
        <v>540133</v>
      </c>
      <c r="B927" s="2">
        <v>42064</v>
      </c>
      <c r="C927">
        <v>0</v>
      </c>
      <c r="D927">
        <v>0</v>
      </c>
      <c r="E927">
        <v>0</v>
      </c>
      <c r="F927" t="s">
        <v>8</v>
      </c>
    </row>
    <row r="928" spans="1:6" x14ac:dyDescent="0.3">
      <c r="A928">
        <v>540133</v>
      </c>
      <c r="B928" s="2">
        <v>42430</v>
      </c>
      <c r="C928">
        <v>1029</v>
      </c>
      <c r="D928">
        <v>0</v>
      </c>
      <c r="E928">
        <v>1029</v>
      </c>
      <c r="F928" t="s">
        <v>8</v>
      </c>
    </row>
    <row r="929" spans="1:6" x14ac:dyDescent="0.3">
      <c r="A929">
        <v>540133</v>
      </c>
      <c r="B929" s="2">
        <v>42795</v>
      </c>
      <c r="C929">
        <v>0</v>
      </c>
      <c r="D929">
        <v>1029</v>
      </c>
      <c r="E929">
        <v>-1029</v>
      </c>
      <c r="F929">
        <v>-100</v>
      </c>
    </row>
    <row r="930" spans="1:6" x14ac:dyDescent="0.3">
      <c r="A930">
        <v>540133</v>
      </c>
      <c r="B930" s="2">
        <v>43160</v>
      </c>
      <c r="C930">
        <v>0</v>
      </c>
      <c r="D930">
        <v>0</v>
      </c>
      <c r="E930">
        <v>0</v>
      </c>
      <c r="F930" t="s">
        <v>8</v>
      </c>
    </row>
    <row r="931" spans="1:6" x14ac:dyDescent="0.3">
      <c r="A931">
        <v>540133</v>
      </c>
      <c r="B931" s="2">
        <v>43525</v>
      </c>
      <c r="C931">
        <v>0</v>
      </c>
      <c r="D931">
        <v>0</v>
      </c>
      <c r="E931">
        <v>0</v>
      </c>
      <c r="F931" t="s">
        <v>8</v>
      </c>
    </row>
    <row r="932" spans="1:6" x14ac:dyDescent="0.3">
      <c r="A932">
        <v>540133</v>
      </c>
      <c r="B932" s="2">
        <v>43891</v>
      </c>
      <c r="C932">
        <v>0</v>
      </c>
      <c r="D932">
        <v>0</v>
      </c>
      <c r="E932">
        <v>0</v>
      </c>
      <c r="F932" t="s">
        <v>8</v>
      </c>
    </row>
    <row r="933" spans="1:6" x14ac:dyDescent="0.3">
      <c r="A933">
        <v>540133</v>
      </c>
      <c r="B933" s="2">
        <v>44256</v>
      </c>
      <c r="C933">
        <v>1200</v>
      </c>
      <c r="D933">
        <v>0</v>
      </c>
      <c r="E933">
        <v>1200</v>
      </c>
      <c r="F933" t="s">
        <v>8</v>
      </c>
    </row>
    <row r="934" spans="1:6" x14ac:dyDescent="0.3">
      <c r="A934">
        <v>540133</v>
      </c>
      <c r="B934" s="2">
        <v>44621</v>
      </c>
      <c r="C934">
        <v>1200</v>
      </c>
      <c r="D934">
        <v>1200</v>
      </c>
      <c r="E934">
        <v>0</v>
      </c>
      <c r="F934">
        <v>0</v>
      </c>
    </row>
    <row r="935" spans="1:6" x14ac:dyDescent="0.3">
      <c r="A935">
        <v>540133</v>
      </c>
      <c r="B935" s="2">
        <v>44986</v>
      </c>
      <c r="C935">
        <v>1200</v>
      </c>
      <c r="D935">
        <v>1200</v>
      </c>
      <c r="E935">
        <v>0</v>
      </c>
      <c r="F935">
        <v>0</v>
      </c>
    </row>
    <row r="936" spans="1:6" x14ac:dyDescent="0.3">
      <c r="A936">
        <v>540180</v>
      </c>
      <c r="B936" s="2">
        <v>41609</v>
      </c>
      <c r="C936">
        <v>2332</v>
      </c>
      <c r="D936">
        <v>1940</v>
      </c>
      <c r="E936">
        <v>392</v>
      </c>
      <c r="F936">
        <v>20.21</v>
      </c>
    </row>
    <row r="937" spans="1:6" x14ac:dyDescent="0.3">
      <c r="A937">
        <v>540180</v>
      </c>
      <c r="B937" s="2">
        <v>41974</v>
      </c>
      <c r="C937">
        <v>2415</v>
      </c>
      <c r="D937">
        <v>2332</v>
      </c>
      <c r="E937">
        <v>83</v>
      </c>
      <c r="F937">
        <v>3.56</v>
      </c>
    </row>
    <row r="938" spans="1:6" x14ac:dyDescent="0.3">
      <c r="A938">
        <v>540180</v>
      </c>
      <c r="B938" s="2">
        <v>42339</v>
      </c>
      <c r="C938">
        <v>2077</v>
      </c>
      <c r="D938">
        <v>2415</v>
      </c>
      <c r="E938">
        <v>-338</v>
      </c>
      <c r="F938">
        <v>-14</v>
      </c>
    </row>
    <row r="939" spans="1:6" x14ac:dyDescent="0.3">
      <c r="A939">
        <v>540180</v>
      </c>
      <c r="B939" s="2">
        <v>42705</v>
      </c>
      <c r="C939">
        <v>2215</v>
      </c>
      <c r="D939">
        <v>2077</v>
      </c>
      <c r="E939">
        <v>138</v>
      </c>
      <c r="F939">
        <v>6.64</v>
      </c>
    </row>
    <row r="940" spans="1:6" x14ac:dyDescent="0.3">
      <c r="A940">
        <v>540180</v>
      </c>
      <c r="B940" s="2">
        <v>43070</v>
      </c>
      <c r="C940">
        <v>2654</v>
      </c>
      <c r="D940">
        <v>2215</v>
      </c>
      <c r="E940">
        <v>439</v>
      </c>
      <c r="F940">
        <v>19.82</v>
      </c>
    </row>
    <row r="941" spans="1:6" x14ac:dyDescent="0.3">
      <c r="A941">
        <v>540180</v>
      </c>
      <c r="B941" s="2">
        <v>43435</v>
      </c>
      <c r="C941">
        <v>2808</v>
      </c>
      <c r="D941">
        <v>2654</v>
      </c>
      <c r="E941">
        <v>154</v>
      </c>
      <c r="F941">
        <v>5.8</v>
      </c>
    </row>
    <row r="942" spans="1:6" x14ac:dyDescent="0.3">
      <c r="A942">
        <v>540180</v>
      </c>
      <c r="B942" s="2">
        <v>43800</v>
      </c>
      <c r="C942">
        <v>3417</v>
      </c>
      <c r="D942">
        <v>2808</v>
      </c>
      <c r="E942">
        <v>609</v>
      </c>
      <c r="F942">
        <v>21.69</v>
      </c>
    </row>
    <row r="943" spans="1:6" x14ac:dyDescent="0.3">
      <c r="A943">
        <v>540180</v>
      </c>
      <c r="B943" s="2">
        <v>44166</v>
      </c>
      <c r="C943">
        <v>3216</v>
      </c>
      <c r="D943">
        <v>3417</v>
      </c>
      <c r="E943">
        <v>-201</v>
      </c>
      <c r="F943">
        <v>-5.88</v>
      </c>
    </row>
    <row r="944" spans="1:6" x14ac:dyDescent="0.3">
      <c r="A944">
        <v>540180</v>
      </c>
      <c r="B944" s="2">
        <v>44531</v>
      </c>
      <c r="C944">
        <v>3387</v>
      </c>
      <c r="D944">
        <v>3216</v>
      </c>
      <c r="E944">
        <v>171</v>
      </c>
      <c r="F944">
        <v>5.32</v>
      </c>
    </row>
    <row r="945" spans="1:6" x14ac:dyDescent="0.3">
      <c r="A945">
        <v>540180</v>
      </c>
      <c r="B945" s="2">
        <v>44896</v>
      </c>
      <c r="C945">
        <v>3884</v>
      </c>
      <c r="D945">
        <v>3387</v>
      </c>
      <c r="E945">
        <v>497</v>
      </c>
      <c r="F945">
        <v>14.67</v>
      </c>
    </row>
    <row r="946" spans="1:6" x14ac:dyDescent="0.3">
      <c r="A946">
        <v>540376</v>
      </c>
      <c r="B946" s="2">
        <v>41334</v>
      </c>
      <c r="C946">
        <v>526</v>
      </c>
      <c r="D946">
        <v>381</v>
      </c>
      <c r="E946">
        <v>145</v>
      </c>
      <c r="F946">
        <v>38.06</v>
      </c>
    </row>
    <row r="947" spans="1:6" x14ac:dyDescent="0.3">
      <c r="A947">
        <v>540376</v>
      </c>
      <c r="B947" s="2">
        <v>41699</v>
      </c>
      <c r="C947">
        <v>641</v>
      </c>
      <c r="D947">
        <v>526</v>
      </c>
      <c r="E947">
        <v>115</v>
      </c>
      <c r="F947">
        <v>21.86</v>
      </c>
    </row>
    <row r="948" spans="1:6" x14ac:dyDescent="0.3">
      <c r="A948">
        <v>540376</v>
      </c>
      <c r="B948" s="2">
        <v>42064</v>
      </c>
      <c r="C948">
        <v>904</v>
      </c>
      <c r="D948">
        <v>641</v>
      </c>
      <c r="E948">
        <v>263</v>
      </c>
      <c r="F948">
        <v>41.03</v>
      </c>
    </row>
    <row r="949" spans="1:6" x14ac:dyDescent="0.3">
      <c r="A949">
        <v>540376</v>
      </c>
      <c r="B949" s="2">
        <v>42430</v>
      </c>
      <c r="C949">
        <v>1192</v>
      </c>
      <c r="D949">
        <v>904</v>
      </c>
      <c r="E949">
        <v>288</v>
      </c>
      <c r="F949">
        <v>31.86</v>
      </c>
    </row>
    <row r="950" spans="1:6" x14ac:dyDescent="0.3">
      <c r="A950">
        <v>540376</v>
      </c>
      <c r="B950" s="2">
        <v>42795</v>
      </c>
      <c r="C950">
        <v>1497</v>
      </c>
      <c r="D950">
        <v>1192</v>
      </c>
      <c r="E950">
        <v>305</v>
      </c>
      <c r="F950">
        <v>25.59</v>
      </c>
    </row>
    <row r="951" spans="1:6" x14ac:dyDescent="0.3">
      <c r="A951">
        <v>540376</v>
      </c>
      <c r="B951" s="2">
        <v>43160</v>
      </c>
      <c r="C951">
        <v>439</v>
      </c>
      <c r="D951">
        <v>1497</v>
      </c>
      <c r="E951">
        <v>-1058</v>
      </c>
      <c r="F951">
        <v>-70.67</v>
      </c>
    </row>
    <row r="952" spans="1:6" x14ac:dyDescent="0.3">
      <c r="A952">
        <v>540376</v>
      </c>
      <c r="B952" s="2">
        <v>43525</v>
      </c>
      <c r="C952">
        <v>700</v>
      </c>
      <c r="D952">
        <v>439</v>
      </c>
      <c r="E952">
        <v>261</v>
      </c>
      <c r="F952">
        <v>59.45</v>
      </c>
    </row>
    <row r="953" spans="1:6" x14ac:dyDescent="0.3">
      <c r="A953">
        <v>540376</v>
      </c>
      <c r="B953" s="2">
        <v>43891</v>
      </c>
      <c r="C953">
        <v>333</v>
      </c>
      <c r="D953">
        <v>700</v>
      </c>
      <c r="E953">
        <v>-367</v>
      </c>
      <c r="F953">
        <v>-52.43</v>
      </c>
    </row>
    <row r="954" spans="1:6" x14ac:dyDescent="0.3">
      <c r="A954">
        <v>540376</v>
      </c>
      <c r="B954" s="2">
        <v>44256</v>
      </c>
      <c r="C954">
        <v>393</v>
      </c>
      <c r="D954">
        <v>333</v>
      </c>
      <c r="E954">
        <v>60</v>
      </c>
      <c r="F954">
        <v>18.02</v>
      </c>
    </row>
    <row r="955" spans="1:6" x14ac:dyDescent="0.3">
      <c r="A955">
        <v>540376</v>
      </c>
      <c r="B955" s="2">
        <v>44621</v>
      </c>
      <c r="C955">
        <v>647</v>
      </c>
      <c r="D955">
        <v>393</v>
      </c>
      <c r="E955">
        <v>254</v>
      </c>
      <c r="F955">
        <v>64.63</v>
      </c>
    </row>
    <row r="956" spans="1:6" x14ac:dyDescent="0.3">
      <c r="A956">
        <v>540376</v>
      </c>
      <c r="B956" s="2">
        <v>44986</v>
      </c>
      <c r="C956">
        <v>643</v>
      </c>
      <c r="D956">
        <v>647</v>
      </c>
      <c r="E956">
        <v>-4</v>
      </c>
      <c r="F956">
        <v>-0.62</v>
      </c>
    </row>
    <row r="957" spans="1:6" x14ac:dyDescent="0.3">
      <c r="A957">
        <v>540716</v>
      </c>
      <c r="B957" s="2">
        <v>41334</v>
      </c>
      <c r="C957">
        <v>0</v>
      </c>
      <c r="D957">
        <v>0</v>
      </c>
      <c r="E957">
        <v>0</v>
      </c>
      <c r="F957" t="s">
        <v>8</v>
      </c>
    </row>
    <row r="958" spans="1:6" x14ac:dyDescent="0.3">
      <c r="A958">
        <v>540716</v>
      </c>
      <c r="B958" s="2">
        <v>41699</v>
      </c>
      <c r="C958">
        <v>0</v>
      </c>
      <c r="D958">
        <v>0</v>
      </c>
      <c r="E958">
        <v>0</v>
      </c>
      <c r="F958" t="s">
        <v>8</v>
      </c>
    </row>
    <row r="959" spans="1:6" x14ac:dyDescent="0.3">
      <c r="A959">
        <v>540716</v>
      </c>
      <c r="B959" s="2">
        <v>42064</v>
      </c>
      <c r="C959">
        <v>0</v>
      </c>
      <c r="D959">
        <v>0</v>
      </c>
      <c r="E959">
        <v>0</v>
      </c>
      <c r="F959" t="s">
        <v>8</v>
      </c>
    </row>
    <row r="960" spans="1:6" x14ac:dyDescent="0.3">
      <c r="A960">
        <v>540716</v>
      </c>
      <c r="B960" s="2">
        <v>42430</v>
      </c>
      <c r="C960">
        <v>0</v>
      </c>
      <c r="D960">
        <v>0</v>
      </c>
      <c r="E960">
        <v>0</v>
      </c>
      <c r="F960" t="s">
        <v>8</v>
      </c>
    </row>
    <row r="961" spans="1:6" x14ac:dyDescent="0.3">
      <c r="A961">
        <v>540716</v>
      </c>
      <c r="B961" s="2">
        <v>42795</v>
      </c>
      <c r="C961">
        <v>485</v>
      </c>
      <c r="D961">
        <v>0</v>
      </c>
      <c r="E961">
        <v>485</v>
      </c>
      <c r="F961" t="s">
        <v>8</v>
      </c>
    </row>
    <row r="962" spans="1:6" x14ac:dyDescent="0.3">
      <c r="A962">
        <v>540716</v>
      </c>
      <c r="B962" s="2">
        <v>43160</v>
      </c>
      <c r="C962">
        <v>485</v>
      </c>
      <c r="D962">
        <v>485</v>
      </c>
      <c r="E962">
        <v>0</v>
      </c>
      <c r="F962">
        <v>0</v>
      </c>
    </row>
    <row r="963" spans="1:6" x14ac:dyDescent="0.3">
      <c r="A963">
        <v>540716</v>
      </c>
      <c r="B963" s="2">
        <v>43525</v>
      </c>
      <c r="C963">
        <v>485</v>
      </c>
      <c r="D963">
        <v>485</v>
      </c>
      <c r="E963">
        <v>0</v>
      </c>
      <c r="F963">
        <v>0</v>
      </c>
    </row>
    <row r="964" spans="1:6" x14ac:dyDescent="0.3">
      <c r="A964">
        <v>540716</v>
      </c>
      <c r="B964" s="2">
        <v>43891</v>
      </c>
      <c r="C964">
        <v>485</v>
      </c>
      <c r="D964">
        <v>485</v>
      </c>
      <c r="E964">
        <v>0</v>
      </c>
      <c r="F964">
        <v>0</v>
      </c>
    </row>
    <row r="965" spans="1:6" x14ac:dyDescent="0.3">
      <c r="A965">
        <v>540716</v>
      </c>
      <c r="B965" s="2">
        <v>44256</v>
      </c>
      <c r="C965">
        <v>485</v>
      </c>
      <c r="D965">
        <v>485</v>
      </c>
      <c r="E965">
        <v>0</v>
      </c>
      <c r="F965">
        <v>0</v>
      </c>
    </row>
    <row r="966" spans="1:6" x14ac:dyDescent="0.3">
      <c r="A966">
        <v>540716</v>
      </c>
      <c r="B966" s="2">
        <v>44621</v>
      </c>
      <c r="C966">
        <v>255</v>
      </c>
      <c r="D966">
        <v>485</v>
      </c>
      <c r="E966">
        <v>-230</v>
      </c>
      <c r="F966">
        <v>-47.42</v>
      </c>
    </row>
    <row r="967" spans="1:6" x14ac:dyDescent="0.3">
      <c r="A967">
        <v>540716</v>
      </c>
      <c r="B967" s="2">
        <v>44986</v>
      </c>
      <c r="C967">
        <v>35</v>
      </c>
      <c r="D967">
        <v>255</v>
      </c>
      <c r="E967">
        <v>-220</v>
      </c>
      <c r="F967">
        <v>-86.27</v>
      </c>
    </row>
    <row r="968" spans="1:6" x14ac:dyDescent="0.3">
      <c r="A968">
        <v>540719</v>
      </c>
      <c r="B968" s="2">
        <v>41334</v>
      </c>
      <c r="C968">
        <v>0</v>
      </c>
      <c r="D968">
        <v>0</v>
      </c>
      <c r="E968">
        <v>0</v>
      </c>
      <c r="F968" t="s">
        <v>8</v>
      </c>
    </row>
    <row r="969" spans="1:6" x14ac:dyDescent="0.3">
      <c r="A969">
        <v>540719</v>
      </c>
      <c r="B969" s="2">
        <v>41699</v>
      </c>
      <c r="C969">
        <v>0</v>
      </c>
      <c r="D969">
        <v>0</v>
      </c>
      <c r="E969">
        <v>0</v>
      </c>
      <c r="F969" t="s">
        <v>8</v>
      </c>
    </row>
    <row r="970" spans="1:6" x14ac:dyDescent="0.3">
      <c r="A970">
        <v>540719</v>
      </c>
      <c r="B970" s="2">
        <v>42064</v>
      </c>
      <c r="C970">
        <v>0</v>
      </c>
      <c r="D970">
        <v>0</v>
      </c>
      <c r="E970">
        <v>0</v>
      </c>
      <c r="F970" t="s">
        <v>8</v>
      </c>
    </row>
    <row r="971" spans="1:6" x14ac:dyDescent="0.3">
      <c r="A971">
        <v>540719</v>
      </c>
      <c r="B971" s="2">
        <v>42430</v>
      </c>
      <c r="C971">
        <v>0</v>
      </c>
      <c r="D971">
        <v>0</v>
      </c>
      <c r="E971">
        <v>0</v>
      </c>
      <c r="F971" t="s">
        <v>8</v>
      </c>
    </row>
    <row r="972" spans="1:6" x14ac:dyDescent="0.3">
      <c r="A972">
        <v>540719</v>
      </c>
      <c r="B972" s="2">
        <v>42795</v>
      </c>
      <c r="C972">
        <v>0</v>
      </c>
      <c r="D972">
        <v>0</v>
      </c>
      <c r="E972">
        <v>0</v>
      </c>
      <c r="F972" t="s">
        <v>8</v>
      </c>
    </row>
    <row r="973" spans="1:6" x14ac:dyDescent="0.3">
      <c r="A973">
        <v>540719</v>
      </c>
      <c r="B973" s="2">
        <v>43160</v>
      </c>
      <c r="C973">
        <v>0</v>
      </c>
      <c r="D973">
        <v>0</v>
      </c>
      <c r="E973">
        <v>0</v>
      </c>
      <c r="F973" t="s">
        <v>8</v>
      </c>
    </row>
    <row r="974" spans="1:6" x14ac:dyDescent="0.3">
      <c r="A974">
        <v>540719</v>
      </c>
      <c r="B974" s="2">
        <v>43525</v>
      </c>
      <c r="C974">
        <v>0</v>
      </c>
      <c r="D974">
        <v>0</v>
      </c>
      <c r="E974">
        <v>0</v>
      </c>
      <c r="F974" t="s">
        <v>8</v>
      </c>
    </row>
    <row r="975" spans="1:6" x14ac:dyDescent="0.3">
      <c r="A975">
        <v>540719</v>
      </c>
      <c r="B975" s="2">
        <v>43891</v>
      </c>
      <c r="C975">
        <v>0</v>
      </c>
      <c r="D975">
        <v>0</v>
      </c>
      <c r="E975">
        <v>0</v>
      </c>
      <c r="F975" t="s">
        <v>8</v>
      </c>
    </row>
    <row r="976" spans="1:6" x14ac:dyDescent="0.3">
      <c r="A976">
        <v>540719</v>
      </c>
      <c r="B976" s="2">
        <v>44256</v>
      </c>
      <c r="C976">
        <v>0</v>
      </c>
      <c r="D976">
        <v>0</v>
      </c>
      <c r="E976">
        <v>0</v>
      </c>
      <c r="F976" t="s">
        <v>8</v>
      </c>
    </row>
    <row r="977" spans="1:6" x14ac:dyDescent="0.3">
      <c r="A977">
        <v>540719</v>
      </c>
      <c r="B977" s="2">
        <v>44621</v>
      </c>
      <c r="C977">
        <v>0</v>
      </c>
      <c r="D977">
        <v>0</v>
      </c>
      <c r="E977">
        <v>0</v>
      </c>
      <c r="F977" t="s">
        <v>8</v>
      </c>
    </row>
    <row r="978" spans="1:6" x14ac:dyDescent="0.3">
      <c r="A978">
        <v>540719</v>
      </c>
      <c r="B978" s="2">
        <v>44986</v>
      </c>
      <c r="C978">
        <v>0</v>
      </c>
      <c r="D978">
        <v>0</v>
      </c>
      <c r="E978">
        <v>0</v>
      </c>
      <c r="F978" t="s">
        <v>8</v>
      </c>
    </row>
    <row r="979" spans="1:6" x14ac:dyDescent="0.3">
      <c r="A979">
        <v>540777</v>
      </c>
      <c r="B979" s="2">
        <v>41699</v>
      </c>
      <c r="C979">
        <v>0</v>
      </c>
      <c r="D979">
        <v>0</v>
      </c>
      <c r="E979">
        <v>0</v>
      </c>
      <c r="F979" t="s">
        <v>8</v>
      </c>
    </row>
    <row r="980" spans="1:6" x14ac:dyDescent="0.3">
      <c r="A980">
        <v>540777</v>
      </c>
      <c r="B980" s="2">
        <v>42064</v>
      </c>
      <c r="C980">
        <v>0</v>
      </c>
      <c r="D980">
        <v>0</v>
      </c>
      <c r="E980">
        <v>0</v>
      </c>
      <c r="F980" t="s">
        <v>8</v>
      </c>
    </row>
    <row r="981" spans="1:6" x14ac:dyDescent="0.3">
      <c r="A981">
        <v>540777</v>
      </c>
      <c r="B981" s="2">
        <v>42430</v>
      </c>
      <c r="C981">
        <v>0</v>
      </c>
      <c r="D981">
        <v>0</v>
      </c>
      <c r="E981">
        <v>0</v>
      </c>
      <c r="F981" t="s">
        <v>8</v>
      </c>
    </row>
    <row r="982" spans="1:6" x14ac:dyDescent="0.3">
      <c r="A982">
        <v>540777</v>
      </c>
      <c r="B982" s="2">
        <v>42795</v>
      </c>
      <c r="C982">
        <v>0</v>
      </c>
      <c r="D982">
        <v>0</v>
      </c>
      <c r="E982">
        <v>0</v>
      </c>
      <c r="F982" t="s">
        <v>8</v>
      </c>
    </row>
    <row r="983" spans="1:6" x14ac:dyDescent="0.3">
      <c r="A983">
        <v>540777</v>
      </c>
      <c r="B983" s="2">
        <v>43160</v>
      </c>
      <c r="C983">
        <v>0</v>
      </c>
      <c r="D983">
        <v>0</v>
      </c>
      <c r="E983">
        <v>0</v>
      </c>
      <c r="F983" t="s">
        <v>8</v>
      </c>
    </row>
    <row r="984" spans="1:6" x14ac:dyDescent="0.3">
      <c r="A984">
        <v>540777</v>
      </c>
      <c r="B984" s="2">
        <v>43525</v>
      </c>
      <c r="C984">
        <v>0</v>
      </c>
      <c r="D984">
        <v>0</v>
      </c>
      <c r="E984">
        <v>0</v>
      </c>
      <c r="F984" t="s">
        <v>8</v>
      </c>
    </row>
    <row r="985" spans="1:6" x14ac:dyDescent="0.3">
      <c r="A985">
        <v>540777</v>
      </c>
      <c r="B985" s="2">
        <v>43891</v>
      </c>
      <c r="C985">
        <v>0</v>
      </c>
      <c r="D985">
        <v>0</v>
      </c>
      <c r="E985">
        <v>0</v>
      </c>
      <c r="F985" t="s">
        <v>8</v>
      </c>
    </row>
    <row r="986" spans="1:6" x14ac:dyDescent="0.3">
      <c r="A986">
        <v>540777</v>
      </c>
      <c r="B986" s="2">
        <v>44256</v>
      </c>
      <c r="C986">
        <v>600</v>
      </c>
      <c r="D986">
        <v>0</v>
      </c>
      <c r="E986">
        <v>600</v>
      </c>
      <c r="F986" t="s">
        <v>8</v>
      </c>
    </row>
    <row r="987" spans="1:6" x14ac:dyDescent="0.3">
      <c r="A987">
        <v>540777</v>
      </c>
      <c r="B987" s="2">
        <v>44621</v>
      </c>
      <c r="C987">
        <v>600</v>
      </c>
      <c r="D987">
        <v>600</v>
      </c>
      <c r="E987">
        <v>0</v>
      </c>
      <c r="F987">
        <v>0</v>
      </c>
    </row>
    <row r="988" spans="1:6" x14ac:dyDescent="0.3">
      <c r="A988">
        <v>540777</v>
      </c>
      <c r="B988" s="2">
        <v>44986</v>
      </c>
      <c r="C988">
        <v>950</v>
      </c>
      <c r="D988">
        <v>600</v>
      </c>
      <c r="E988">
        <v>350</v>
      </c>
      <c r="F988">
        <v>58.33</v>
      </c>
    </row>
    <row r="989" spans="1:6" x14ac:dyDescent="0.3">
      <c r="A989">
        <v>541154</v>
      </c>
      <c r="B989" s="2">
        <v>41334</v>
      </c>
      <c r="C989">
        <v>5</v>
      </c>
      <c r="D989">
        <v>5</v>
      </c>
      <c r="E989">
        <v>0</v>
      </c>
      <c r="F989">
        <v>0</v>
      </c>
    </row>
    <row r="990" spans="1:6" x14ac:dyDescent="0.3">
      <c r="A990">
        <v>541154</v>
      </c>
      <c r="B990" s="2">
        <v>41699</v>
      </c>
      <c r="C990">
        <v>684</v>
      </c>
      <c r="D990">
        <v>5</v>
      </c>
      <c r="E990">
        <v>679</v>
      </c>
      <c r="F990">
        <v>13580</v>
      </c>
    </row>
    <row r="991" spans="1:6" x14ac:dyDescent="0.3">
      <c r="A991">
        <v>541154</v>
      </c>
      <c r="B991" s="2">
        <v>42064</v>
      </c>
      <c r="C991">
        <v>5</v>
      </c>
      <c r="D991">
        <v>684</v>
      </c>
      <c r="E991">
        <v>-679</v>
      </c>
      <c r="F991">
        <v>-99.27</v>
      </c>
    </row>
    <row r="992" spans="1:6" x14ac:dyDescent="0.3">
      <c r="A992">
        <v>541154</v>
      </c>
      <c r="B992" s="2">
        <v>42430</v>
      </c>
      <c r="C992">
        <v>80</v>
      </c>
      <c r="D992">
        <v>5</v>
      </c>
      <c r="E992">
        <v>75</v>
      </c>
      <c r="F992">
        <v>1500</v>
      </c>
    </row>
    <row r="993" spans="1:6" x14ac:dyDescent="0.3">
      <c r="A993">
        <v>541154</v>
      </c>
      <c r="B993" s="2">
        <v>42795</v>
      </c>
      <c r="C993">
        <v>1022</v>
      </c>
      <c r="D993">
        <v>80</v>
      </c>
      <c r="E993">
        <v>942</v>
      </c>
      <c r="F993">
        <v>1177.5</v>
      </c>
    </row>
    <row r="994" spans="1:6" x14ac:dyDescent="0.3">
      <c r="A994">
        <v>541154</v>
      </c>
      <c r="B994" s="2">
        <v>43160</v>
      </c>
      <c r="C994">
        <v>905</v>
      </c>
      <c r="D994">
        <v>1022</v>
      </c>
      <c r="E994">
        <v>-117</v>
      </c>
      <c r="F994">
        <v>-11.45</v>
      </c>
    </row>
    <row r="995" spans="1:6" x14ac:dyDescent="0.3">
      <c r="A995">
        <v>541154</v>
      </c>
      <c r="B995" s="2">
        <v>43525</v>
      </c>
      <c r="C995">
        <v>4157</v>
      </c>
      <c r="D995">
        <v>905</v>
      </c>
      <c r="E995">
        <v>3252</v>
      </c>
      <c r="F995">
        <v>359.34</v>
      </c>
    </row>
    <row r="996" spans="1:6" x14ac:dyDescent="0.3">
      <c r="A996">
        <v>541154</v>
      </c>
      <c r="B996" s="2">
        <v>43891</v>
      </c>
      <c r="C996">
        <v>5927</v>
      </c>
      <c r="D996">
        <v>4157</v>
      </c>
      <c r="E996">
        <v>1770</v>
      </c>
      <c r="F996">
        <v>42.58</v>
      </c>
    </row>
    <row r="997" spans="1:6" x14ac:dyDescent="0.3">
      <c r="A997">
        <v>541154</v>
      </c>
      <c r="B997" s="2">
        <v>44256</v>
      </c>
      <c r="C997">
        <v>53</v>
      </c>
      <c r="D997">
        <v>5927</v>
      </c>
      <c r="E997">
        <v>-5874</v>
      </c>
      <c r="F997">
        <v>-99.11</v>
      </c>
    </row>
    <row r="998" spans="1:6" x14ac:dyDescent="0.3">
      <c r="A998">
        <v>541154</v>
      </c>
      <c r="B998" s="2">
        <v>44621</v>
      </c>
      <c r="C998">
        <v>49</v>
      </c>
      <c r="D998">
        <v>53</v>
      </c>
      <c r="E998">
        <v>-4</v>
      </c>
      <c r="F998">
        <v>-7.55</v>
      </c>
    </row>
    <row r="999" spans="1:6" x14ac:dyDescent="0.3">
      <c r="A999">
        <v>541154</v>
      </c>
      <c r="B999" s="2">
        <v>44986</v>
      </c>
      <c r="C999">
        <v>2</v>
      </c>
      <c r="D999">
        <v>49</v>
      </c>
      <c r="E999">
        <v>-47</v>
      </c>
      <c r="F999">
        <v>-95.92</v>
      </c>
    </row>
    <row r="1000" spans="1:6" x14ac:dyDescent="0.3">
      <c r="A1000">
        <v>541450</v>
      </c>
      <c r="B1000" s="2">
        <v>43160</v>
      </c>
      <c r="C1000">
        <v>9864</v>
      </c>
      <c r="D1000">
        <v>4347</v>
      </c>
      <c r="E1000">
        <v>5517</v>
      </c>
      <c r="F1000">
        <v>126.92</v>
      </c>
    </row>
    <row r="1001" spans="1:6" x14ac:dyDescent="0.3">
      <c r="A1001">
        <v>541450</v>
      </c>
      <c r="B1001" s="2">
        <v>43525</v>
      </c>
      <c r="C1001">
        <v>11142</v>
      </c>
      <c r="D1001">
        <v>9864</v>
      </c>
      <c r="E1001">
        <v>1278</v>
      </c>
      <c r="F1001">
        <v>12.96</v>
      </c>
    </row>
    <row r="1002" spans="1:6" x14ac:dyDescent="0.3">
      <c r="A1002">
        <v>541450</v>
      </c>
      <c r="B1002" s="2">
        <v>43891</v>
      </c>
      <c r="C1002">
        <v>14867</v>
      </c>
      <c r="D1002">
        <v>11142</v>
      </c>
      <c r="E1002">
        <v>3725</v>
      </c>
      <c r="F1002">
        <v>33.43</v>
      </c>
    </row>
    <row r="1003" spans="1:6" x14ac:dyDescent="0.3">
      <c r="A1003">
        <v>541450</v>
      </c>
      <c r="B1003" s="2">
        <v>44256</v>
      </c>
      <c r="C1003">
        <v>24209</v>
      </c>
      <c r="D1003">
        <v>14867</v>
      </c>
      <c r="E1003">
        <v>9342</v>
      </c>
      <c r="F1003">
        <v>62.84</v>
      </c>
    </row>
    <row r="1004" spans="1:6" x14ac:dyDescent="0.3">
      <c r="A1004">
        <v>541450</v>
      </c>
      <c r="B1004" s="2">
        <v>44621</v>
      </c>
      <c r="C1004">
        <v>52832</v>
      </c>
      <c r="D1004">
        <v>24209</v>
      </c>
      <c r="E1004">
        <v>28623</v>
      </c>
      <c r="F1004">
        <v>118.23</v>
      </c>
    </row>
    <row r="1005" spans="1:6" x14ac:dyDescent="0.3">
      <c r="A1005">
        <v>541450</v>
      </c>
      <c r="B1005" s="2">
        <v>44986</v>
      </c>
      <c r="C1005">
        <v>54223</v>
      </c>
      <c r="D1005">
        <v>52832</v>
      </c>
      <c r="E1005">
        <v>1391</v>
      </c>
      <c r="F1005">
        <v>2.63</v>
      </c>
    </row>
    <row r="1006" spans="1:6" x14ac:dyDescent="0.3">
      <c r="A1006">
        <v>542066</v>
      </c>
      <c r="B1006" s="2">
        <v>43525</v>
      </c>
      <c r="C1006">
        <v>394</v>
      </c>
      <c r="D1006">
        <v>1345</v>
      </c>
      <c r="E1006">
        <v>-951</v>
      </c>
      <c r="F1006">
        <v>-70.709999999999994</v>
      </c>
    </row>
    <row r="1007" spans="1:6" x14ac:dyDescent="0.3">
      <c r="A1007">
        <v>542066</v>
      </c>
      <c r="B1007" s="2">
        <v>43891</v>
      </c>
      <c r="C1007">
        <v>428</v>
      </c>
      <c r="D1007">
        <v>394</v>
      </c>
      <c r="E1007">
        <v>34</v>
      </c>
      <c r="F1007">
        <v>8.6300000000000008</v>
      </c>
    </row>
    <row r="1008" spans="1:6" x14ac:dyDescent="0.3">
      <c r="A1008">
        <v>542066</v>
      </c>
      <c r="B1008" s="2">
        <v>44256</v>
      </c>
      <c r="C1008">
        <v>529</v>
      </c>
      <c r="D1008">
        <v>428</v>
      </c>
      <c r="E1008">
        <v>101</v>
      </c>
      <c r="F1008">
        <v>23.6</v>
      </c>
    </row>
    <row r="1009" spans="1:6" x14ac:dyDescent="0.3">
      <c r="A1009">
        <v>542066</v>
      </c>
      <c r="B1009" s="2">
        <v>44621</v>
      </c>
      <c r="C1009">
        <v>1035</v>
      </c>
      <c r="D1009">
        <v>529</v>
      </c>
      <c r="E1009">
        <v>506</v>
      </c>
      <c r="F1009">
        <v>95.65</v>
      </c>
    </row>
    <row r="1010" spans="1:6" x14ac:dyDescent="0.3">
      <c r="A1010">
        <v>542066</v>
      </c>
      <c r="B1010" s="2">
        <v>44986</v>
      </c>
      <c r="C1010">
        <v>1422</v>
      </c>
      <c r="D1010">
        <v>1035</v>
      </c>
      <c r="E1010">
        <v>387</v>
      </c>
      <c r="F1010">
        <v>37.39</v>
      </c>
    </row>
    <row r="1011" spans="1:6" x14ac:dyDescent="0.3">
      <c r="A1011">
        <v>543066</v>
      </c>
      <c r="B1011" s="2">
        <v>41699</v>
      </c>
      <c r="C1011">
        <v>3498</v>
      </c>
      <c r="D1011">
        <v>2803</v>
      </c>
      <c r="E1011">
        <v>695</v>
      </c>
      <c r="F1011">
        <v>24.79</v>
      </c>
    </row>
    <row r="1012" spans="1:6" x14ac:dyDescent="0.3">
      <c r="A1012">
        <v>543066</v>
      </c>
      <c r="B1012" s="2">
        <v>42064</v>
      </c>
      <c r="C1012">
        <v>4699</v>
      </c>
      <c r="D1012">
        <v>3498</v>
      </c>
      <c r="E1012">
        <v>1201</v>
      </c>
      <c r="F1012">
        <v>34.33</v>
      </c>
    </row>
    <row r="1013" spans="1:6" x14ac:dyDescent="0.3">
      <c r="A1013">
        <v>543066</v>
      </c>
      <c r="B1013" s="2">
        <v>42430</v>
      </c>
      <c r="C1013">
        <v>5928</v>
      </c>
      <c r="D1013">
        <v>4699</v>
      </c>
      <c r="E1013">
        <v>1229</v>
      </c>
      <c r="F1013">
        <v>26.15</v>
      </c>
    </row>
    <row r="1014" spans="1:6" x14ac:dyDescent="0.3">
      <c r="A1014">
        <v>543066</v>
      </c>
      <c r="B1014" s="2">
        <v>42795</v>
      </c>
      <c r="C1014">
        <v>8268</v>
      </c>
      <c r="D1014">
        <v>5928</v>
      </c>
      <c r="E1014">
        <v>2340</v>
      </c>
      <c r="F1014">
        <v>39.47</v>
      </c>
    </row>
    <row r="1015" spans="1:6" x14ac:dyDescent="0.3">
      <c r="A1015">
        <v>543066</v>
      </c>
      <c r="B1015" s="2">
        <v>43160</v>
      </c>
      <c r="C1015">
        <v>11413</v>
      </c>
      <c r="D1015">
        <v>8268</v>
      </c>
      <c r="E1015">
        <v>3145</v>
      </c>
      <c r="F1015">
        <v>38.04</v>
      </c>
    </row>
    <row r="1016" spans="1:6" x14ac:dyDescent="0.3">
      <c r="A1016">
        <v>543066</v>
      </c>
      <c r="B1016" s="2">
        <v>43525</v>
      </c>
      <c r="C1016">
        <v>13549</v>
      </c>
      <c r="D1016">
        <v>11413</v>
      </c>
      <c r="E1016">
        <v>2136</v>
      </c>
      <c r="F1016">
        <v>18.72</v>
      </c>
    </row>
    <row r="1017" spans="1:6" x14ac:dyDescent="0.3">
      <c r="A1017">
        <v>543066</v>
      </c>
      <c r="B1017" s="2">
        <v>43891</v>
      </c>
      <c r="C1017">
        <v>17573</v>
      </c>
      <c r="D1017">
        <v>13549</v>
      </c>
      <c r="E1017">
        <v>4024</v>
      </c>
      <c r="F1017">
        <v>29.7</v>
      </c>
    </row>
    <row r="1018" spans="1:6" x14ac:dyDescent="0.3">
      <c r="A1018">
        <v>543066</v>
      </c>
      <c r="B1018" s="2">
        <v>44256</v>
      </c>
      <c r="C1018">
        <v>17895</v>
      </c>
      <c r="D1018">
        <v>17573</v>
      </c>
      <c r="E1018">
        <v>322</v>
      </c>
      <c r="F1018">
        <v>1.83</v>
      </c>
    </row>
    <row r="1019" spans="1:6" x14ac:dyDescent="0.3">
      <c r="A1019">
        <v>543066</v>
      </c>
      <c r="B1019" s="2">
        <v>44621</v>
      </c>
      <c r="C1019">
        <v>22982</v>
      </c>
      <c r="D1019">
        <v>17895</v>
      </c>
      <c r="E1019">
        <v>5087</v>
      </c>
      <c r="F1019">
        <v>28.43</v>
      </c>
    </row>
    <row r="1020" spans="1:6" x14ac:dyDescent="0.3">
      <c r="A1020">
        <v>543066</v>
      </c>
      <c r="B1020" s="2">
        <v>44986</v>
      </c>
      <c r="C1020">
        <v>31110</v>
      </c>
      <c r="D1020">
        <v>22982</v>
      </c>
      <c r="E1020">
        <v>8128</v>
      </c>
      <c r="F1020">
        <v>35.369999999999997</v>
      </c>
    </row>
    <row r="1021" spans="1:6" x14ac:dyDescent="0.3">
      <c r="A1021">
        <v>543220</v>
      </c>
      <c r="B1021" s="2">
        <v>43160</v>
      </c>
      <c r="C1021">
        <v>981</v>
      </c>
      <c r="D1021">
        <v>874</v>
      </c>
      <c r="E1021">
        <v>107</v>
      </c>
      <c r="F1021">
        <v>12.24</v>
      </c>
    </row>
    <row r="1022" spans="1:6" x14ac:dyDescent="0.3">
      <c r="A1022">
        <v>543220</v>
      </c>
      <c r="B1022" s="2">
        <v>43525</v>
      </c>
      <c r="C1022">
        <v>1003</v>
      </c>
      <c r="D1022">
        <v>981</v>
      </c>
      <c r="E1022">
        <v>22</v>
      </c>
      <c r="F1022">
        <v>2.2400000000000002</v>
      </c>
    </row>
    <row r="1023" spans="1:6" x14ac:dyDescent="0.3">
      <c r="A1023">
        <v>543220</v>
      </c>
      <c r="B1023" s="2">
        <v>43891</v>
      </c>
      <c r="C1023">
        <v>875</v>
      </c>
      <c r="D1023">
        <v>1003</v>
      </c>
      <c r="E1023">
        <v>-128</v>
      </c>
      <c r="F1023">
        <v>-12.76</v>
      </c>
    </row>
    <row r="1024" spans="1:6" x14ac:dyDescent="0.3">
      <c r="A1024">
        <v>543220</v>
      </c>
      <c r="B1024" s="2">
        <v>44256</v>
      </c>
      <c r="C1024">
        <v>1101</v>
      </c>
      <c r="D1024">
        <v>875</v>
      </c>
      <c r="E1024">
        <v>226</v>
      </c>
      <c r="F1024">
        <v>25.83</v>
      </c>
    </row>
    <row r="1025" spans="1:6" x14ac:dyDescent="0.3">
      <c r="A1025">
        <v>543220</v>
      </c>
      <c r="B1025" s="2">
        <v>44621</v>
      </c>
      <c r="C1025">
        <v>913</v>
      </c>
      <c r="D1025">
        <v>1101</v>
      </c>
      <c r="E1025">
        <v>-188</v>
      </c>
      <c r="F1025">
        <v>-17.079999999999998</v>
      </c>
    </row>
    <row r="1026" spans="1:6" x14ac:dyDescent="0.3">
      <c r="A1026">
        <v>543220</v>
      </c>
      <c r="B1026" s="2">
        <v>44986</v>
      </c>
      <c r="C1026">
        <v>689</v>
      </c>
      <c r="D1026">
        <v>913</v>
      </c>
      <c r="E1026">
        <v>-224</v>
      </c>
      <c r="F1026">
        <v>-24.53</v>
      </c>
    </row>
    <row r="1027" spans="1:6" x14ac:dyDescent="0.3">
      <c r="A1027">
        <v>543320</v>
      </c>
      <c r="B1027" s="2">
        <v>43525</v>
      </c>
      <c r="C1027">
        <v>104</v>
      </c>
      <c r="D1027">
        <v>12</v>
      </c>
      <c r="E1027">
        <v>92</v>
      </c>
      <c r="F1027">
        <v>766.67</v>
      </c>
    </row>
    <row r="1028" spans="1:6" x14ac:dyDescent="0.3">
      <c r="A1028">
        <v>543320</v>
      </c>
      <c r="B1028" s="2">
        <v>43891</v>
      </c>
      <c r="C1028">
        <v>73</v>
      </c>
      <c r="D1028">
        <v>104</v>
      </c>
      <c r="E1028">
        <v>-31</v>
      </c>
      <c r="F1028">
        <v>-29.81</v>
      </c>
    </row>
    <row r="1029" spans="1:6" x14ac:dyDescent="0.3">
      <c r="A1029">
        <v>543320</v>
      </c>
      <c r="B1029" s="2">
        <v>44256</v>
      </c>
      <c r="C1029">
        <v>72</v>
      </c>
      <c r="D1029">
        <v>73</v>
      </c>
      <c r="E1029">
        <v>-1</v>
      </c>
      <c r="F1029">
        <v>-1.37</v>
      </c>
    </row>
    <row r="1030" spans="1:6" x14ac:dyDescent="0.3">
      <c r="A1030">
        <v>543320</v>
      </c>
      <c r="B1030" s="2">
        <v>44621</v>
      </c>
      <c r="C1030">
        <v>70</v>
      </c>
      <c r="D1030">
        <v>72</v>
      </c>
      <c r="E1030">
        <v>-2</v>
      </c>
      <c r="F1030">
        <v>-2.78</v>
      </c>
    </row>
    <row r="1031" spans="1:6" x14ac:dyDescent="0.3">
      <c r="A1031">
        <v>543320</v>
      </c>
      <c r="B1031" s="2">
        <v>44986</v>
      </c>
      <c r="C1031">
        <v>507</v>
      </c>
      <c r="D1031">
        <v>70</v>
      </c>
      <c r="E1031">
        <v>437</v>
      </c>
      <c r="F1031">
        <v>624.29</v>
      </c>
    </row>
    <row r="1032" spans="1:6" x14ac:dyDescent="0.3">
      <c r="A1032">
        <v>543458</v>
      </c>
      <c r="B1032" s="2">
        <v>42795</v>
      </c>
      <c r="C1032">
        <v>2622</v>
      </c>
      <c r="D1032">
        <v>1948</v>
      </c>
      <c r="E1032">
        <v>674</v>
      </c>
      <c r="F1032">
        <v>34.6</v>
      </c>
    </row>
    <row r="1033" spans="1:6" x14ac:dyDescent="0.3">
      <c r="A1033">
        <v>543458</v>
      </c>
      <c r="B1033" s="2">
        <v>43160</v>
      </c>
      <c r="C1033">
        <v>2244</v>
      </c>
      <c r="D1033">
        <v>2622</v>
      </c>
      <c r="E1033">
        <v>-378</v>
      </c>
      <c r="F1033">
        <v>-14.42</v>
      </c>
    </row>
    <row r="1034" spans="1:6" x14ac:dyDescent="0.3">
      <c r="A1034">
        <v>543458</v>
      </c>
      <c r="B1034" s="2">
        <v>43525</v>
      </c>
      <c r="C1034">
        <v>1829</v>
      </c>
      <c r="D1034">
        <v>2244</v>
      </c>
      <c r="E1034">
        <v>-415</v>
      </c>
      <c r="F1034">
        <v>-18.489999999999998</v>
      </c>
    </row>
    <row r="1035" spans="1:6" x14ac:dyDescent="0.3">
      <c r="A1035">
        <v>543458</v>
      </c>
      <c r="B1035" s="2">
        <v>43891</v>
      </c>
      <c r="C1035">
        <v>2300</v>
      </c>
      <c r="D1035">
        <v>1829</v>
      </c>
      <c r="E1035">
        <v>471</v>
      </c>
      <c r="F1035">
        <v>25.75</v>
      </c>
    </row>
    <row r="1036" spans="1:6" x14ac:dyDescent="0.3">
      <c r="A1036">
        <v>543458</v>
      </c>
      <c r="B1036" s="2">
        <v>44256</v>
      </c>
      <c r="C1036">
        <v>3051</v>
      </c>
      <c r="D1036">
        <v>2300</v>
      </c>
      <c r="E1036">
        <v>751</v>
      </c>
      <c r="F1036">
        <v>32.65</v>
      </c>
    </row>
    <row r="1037" spans="1:6" x14ac:dyDescent="0.3">
      <c r="A1037">
        <v>543458</v>
      </c>
      <c r="B1037" s="2">
        <v>44621</v>
      </c>
      <c r="C1037">
        <v>2626</v>
      </c>
      <c r="D1037">
        <v>3051</v>
      </c>
      <c r="E1037">
        <v>-425</v>
      </c>
      <c r="F1037">
        <v>-13.93</v>
      </c>
    </row>
    <row r="1038" spans="1:6" x14ac:dyDescent="0.3">
      <c r="A1038">
        <v>543458</v>
      </c>
      <c r="B1038" s="2">
        <v>44986</v>
      </c>
      <c r="C1038">
        <v>2259</v>
      </c>
      <c r="D1038">
        <v>2626</v>
      </c>
      <c r="E1038">
        <v>-367</v>
      </c>
      <c r="F1038">
        <v>-13.98</v>
      </c>
    </row>
    <row r="1039" spans="1:6" x14ac:dyDescent="0.3">
      <c r="A1039">
        <v>543526</v>
      </c>
      <c r="B1039" s="2">
        <v>43160</v>
      </c>
      <c r="C1039">
        <v>0</v>
      </c>
      <c r="D1039">
        <v>0</v>
      </c>
      <c r="E1039">
        <v>0</v>
      </c>
      <c r="F1039" t="s">
        <v>8</v>
      </c>
    </row>
    <row r="1040" spans="1:6" x14ac:dyDescent="0.3">
      <c r="A1040">
        <v>543526</v>
      </c>
      <c r="B1040" s="2">
        <v>43525</v>
      </c>
      <c r="C1040">
        <v>0</v>
      </c>
      <c r="D1040">
        <v>0</v>
      </c>
      <c r="E1040">
        <v>0</v>
      </c>
      <c r="F1040" t="s">
        <v>8</v>
      </c>
    </row>
    <row r="1041" spans="1:6" x14ac:dyDescent="0.3">
      <c r="A1041">
        <v>543526</v>
      </c>
      <c r="B1041" s="2">
        <v>43891</v>
      </c>
      <c r="C1041">
        <v>0</v>
      </c>
      <c r="D1041">
        <v>0</v>
      </c>
      <c r="E1041">
        <v>0</v>
      </c>
      <c r="F1041" t="s">
        <v>8</v>
      </c>
    </row>
    <row r="1042" spans="1:6" x14ac:dyDescent="0.3">
      <c r="A1042">
        <v>543526</v>
      </c>
      <c r="B1042" s="2">
        <v>44256</v>
      </c>
      <c r="C1042">
        <v>0</v>
      </c>
      <c r="D1042">
        <v>0</v>
      </c>
      <c r="E1042">
        <v>0</v>
      </c>
      <c r="F1042" t="s">
        <v>8</v>
      </c>
    </row>
    <row r="1043" spans="1:6" x14ac:dyDescent="0.3">
      <c r="A1043">
        <v>543526</v>
      </c>
      <c r="B1043" s="2">
        <v>44621</v>
      </c>
      <c r="C1043">
        <v>0</v>
      </c>
      <c r="D1043">
        <v>0</v>
      </c>
      <c r="E1043">
        <v>0</v>
      </c>
      <c r="F1043" t="s">
        <v>8</v>
      </c>
    </row>
    <row r="1044" spans="1:6" x14ac:dyDescent="0.3">
      <c r="A1044">
        <v>543526</v>
      </c>
      <c r="B1044" s="2">
        <v>44986</v>
      </c>
      <c r="C1044">
        <v>0</v>
      </c>
      <c r="D1044">
        <v>0</v>
      </c>
      <c r="E1044">
        <v>0</v>
      </c>
      <c r="F1044"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0047-284F-4FFB-A587-DD7419B61819}">
  <dimension ref="B2:I3"/>
  <sheetViews>
    <sheetView topLeftCell="A3" workbookViewId="0">
      <selection activeCell="L38" sqref="L38"/>
    </sheetView>
  </sheetViews>
  <sheetFormatPr defaultRowHeight="14.4" x14ac:dyDescent="0.3"/>
  <sheetData>
    <row r="2" spans="2:9" x14ac:dyDescent="0.3">
      <c r="B2" s="3">
        <f>COUNTA(Stock_Data!A2:A25)</f>
        <v>24</v>
      </c>
      <c r="C2" s="3"/>
      <c r="D2" s="4">
        <f>AVERAGE(Stock_Data!B2:B25)</f>
        <v>3010.4500020345058</v>
      </c>
      <c r="E2" s="4"/>
      <c r="F2" s="5">
        <f>MAX(Stock_Data!C2:C25)</f>
        <v>5.22</v>
      </c>
      <c r="G2" s="5"/>
      <c r="H2" s="5">
        <f>MIN(Stock_Data!C2:C25)</f>
        <v>-8.06</v>
      </c>
      <c r="I2" s="5"/>
    </row>
    <row r="3" spans="2:9" x14ac:dyDescent="0.3">
      <c r="B3" s="3"/>
      <c r="C3" s="3"/>
      <c r="D3" s="4"/>
      <c r="E3" s="4"/>
      <c r="F3" s="5"/>
      <c r="G3" s="5"/>
      <c r="H3" s="5"/>
      <c r="I3" s="5"/>
    </row>
  </sheetData>
  <mergeCells count="4">
    <mergeCell ref="B2:C3"/>
    <mergeCell ref="D2:E3"/>
    <mergeCell ref="F2:G3"/>
    <mergeCell ref="H2:I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Stock_Data</vt:lpstr>
      <vt:lpstr>Balancesheet_Data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Bhushan Tigdi</dc:creator>
  <cp:lastModifiedBy>Bhushan Tigdi</cp:lastModifiedBy>
  <dcterms:created xsi:type="dcterms:W3CDTF">2026-09-21T18:12:33Z</dcterms:created>
  <dcterms:modified xsi:type="dcterms:W3CDTF">2026-09-21T19:10:16Z</dcterms:modified>
</cp:coreProperties>
</file>